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Control" sheetId="1" state="visible" r:id="rId1"/>
    <sheet name="Pipe" sheetId="2" state="visible" r:id="rId2"/>
    <sheet name="Fabrication" sheetId="3" state="visible" r:id="rId3"/>
    <sheet name="Erection" sheetId="4" state="visible" r:id="rId4"/>
    <sheet name="Supports" sheetId="5" state="visible" r:id="rId5"/>
    <sheet name="Tutorial" sheetId="6" state="hidden" r:id="rId6"/>
    <sheet name="Item codes" sheetId="7" state="hidden" r:id="rId7"/>
  </sheets>
  <definedNames>
    <definedName name="_xlnm.Print_Area" localSheetId="1">Pipe!$A$1:$G$36</definedName>
    <definedName name="_xlnm.Print_Area" localSheetId="2">Fabrication!$A$1:$G$36</definedName>
    <definedName name="_xlnm.Print_Area" localSheetId="3">Erection!$A$1:$G$36</definedName>
    <definedName name="_xlnm.Print_Area" localSheetId="4">Supports!$A$1:$G$36</definedName>
    <definedName name="_xlnm.Print_Area" localSheetId="5">Tutorial!$A$1:$G$36</definedName>
    <definedName name="_xlnm._FilterDatabase" localSheetId="6" hidden="1">'Item codes'!$A$1:$B$15</definedName>
    <definedName name="_xlnm._FilterDatabase" localSheetId="6" hidden="1">'Item codes'!$A$1:$B$15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<sst xmlns="http://schemas.openxmlformats.org/spreadsheetml/2006/main" count="585" uniqueCount="585">
  <si>
    <t xml:space="preserve">Project No. &amp; Contract No.</t>
  </si>
  <si>
    <t xml:space="preserve">AZAC169 - Natref Hybird Project</t>
  </si>
  <si>
    <t xml:space="preserve">Last Number</t>
  </si>
  <si>
    <t>000929</t>
  </si>
  <si>
    <t xml:space="preserve">Work Pack</t>
  </si>
  <si>
    <t>WP1</t>
  </si>
  <si>
    <t xml:space="preserve">Work Presence</t>
  </si>
  <si>
    <t>Piping</t>
  </si>
  <si>
    <t>Fabrication</t>
  </si>
  <si>
    <t>Erection</t>
  </si>
  <si>
    <t>Support</t>
  </si>
  <si>
    <t xml:space="preserve">Operating Temperature</t>
  </si>
  <si>
    <t xml:space="preserve">Insulation Type</t>
  </si>
  <si>
    <t>None</t>
  </si>
  <si>
    <t xml:space="preserve">Line Number</t>
  </si>
  <si>
    <t>N142703-L-1"</t>
  </si>
  <si>
    <t xml:space="preserve">Sheet Number</t>
  </si>
  <si>
    <t xml:space="preserve">Revision Number</t>
  </si>
  <si>
    <t>01</t>
  </si>
  <si>
    <t xml:space="preserve">Picking Ticket</t>
  </si>
  <si>
    <t xml:space="preserve">Page      of</t>
  </si>
  <si>
    <t>Craft</t>
  </si>
  <si>
    <t xml:space="preserve">Requested No.</t>
  </si>
  <si>
    <t xml:space="preserve">Paint Spec:</t>
  </si>
  <si>
    <t xml:space="preserve">Picking Ticket No.</t>
  </si>
  <si>
    <t>Date</t>
  </si>
  <si>
    <t xml:space="preserve">OP TEMP</t>
  </si>
  <si>
    <t>Pipe</t>
  </si>
  <si>
    <t xml:space="preserve">Insulation type</t>
  </si>
  <si>
    <t xml:space="preserve">Drawing No.</t>
  </si>
  <si>
    <t>Sht</t>
  </si>
  <si>
    <t>Rev</t>
  </si>
  <si>
    <t xml:space="preserve">Drawing Item No.</t>
  </si>
  <si>
    <t xml:space="preserve">Item Code or Tag No,</t>
  </si>
  <si>
    <t>Size</t>
  </si>
  <si>
    <t xml:space="preserve">Quantity Required</t>
  </si>
  <si>
    <t xml:space="preserve">Material Description</t>
  </si>
  <si>
    <t xml:space="preserve">Quantity Issued</t>
  </si>
  <si>
    <t xml:space="preserve">Heat Number </t>
  </si>
  <si>
    <t>0356032</t>
  </si>
  <si>
    <t>1"</t>
  </si>
  <si>
    <t>0.2m</t>
  </si>
  <si>
    <t xml:space="preserve">Signature and Date</t>
  </si>
  <si>
    <t>Approved:</t>
  </si>
  <si>
    <t xml:space="preserve">Issued By:</t>
  </si>
  <si>
    <t xml:space="preserve">Received By:</t>
  </si>
  <si>
    <t>0374285</t>
  </si>
  <si>
    <t>0554396</t>
  </si>
  <si>
    <t>0554627</t>
  </si>
  <si>
    <t>0672123</t>
  </si>
  <si>
    <t>2"</t>
  </si>
  <si>
    <t>0672151</t>
  </si>
  <si>
    <t>0675648</t>
  </si>
  <si>
    <t>5/8x100mm</t>
  </si>
  <si>
    <t>1/2x90mm</t>
  </si>
  <si>
    <t>0615497</t>
  </si>
  <si>
    <t>0158301</t>
  </si>
  <si>
    <t>0158308</t>
  </si>
  <si>
    <t>5/8x90mm</t>
  </si>
  <si>
    <t>4</t>
  </si>
  <si>
    <t>Supports</t>
  </si>
  <si>
    <t>N/A</t>
  </si>
  <si>
    <t>0805942</t>
  </si>
  <si>
    <t>3"</t>
  </si>
  <si>
    <t>169-</t>
  </si>
  <si>
    <t>000437</t>
  </si>
  <si>
    <t>.</t>
  </si>
  <si>
    <t>N142641-CZC-1"</t>
  </si>
  <si>
    <t>1</t>
  </si>
  <si>
    <t>0.3M</t>
  </si>
  <si>
    <t>0000514</t>
  </si>
  <si>
    <t xml:space="preserve">GATE 150LB SCRD BRONZE B.S.21</t>
  </si>
  <si>
    <t>0061782</t>
  </si>
  <si>
    <t xml:space="preserve">GATE 800LB SW STL. F6/STELLITED. SWB</t>
  </si>
  <si>
    <t>0061899</t>
  </si>
  <si>
    <t xml:space="preserve">GATE 800LB SW STL MONEL TRIM</t>
  </si>
  <si>
    <t>0062543</t>
  </si>
  <si>
    <t xml:space="preserve">GLOBE 800LB SW STL F6/STELLITED SWB</t>
  </si>
  <si>
    <t>0156050</t>
  </si>
  <si>
    <t xml:space="preserve">GATE CL 150 RF C STL #5 TR CL A</t>
  </si>
  <si>
    <t>0156061</t>
  </si>
  <si>
    <t xml:space="preserve">GATE CL 150 RF STL F6 GRAF BB</t>
  </si>
  <si>
    <t>0156068</t>
  </si>
  <si>
    <t xml:space="preserve">GATE CL 150 RF STL F6 GRAF BB FULL PORT</t>
  </si>
  <si>
    <t>0156070</t>
  </si>
  <si>
    <t xml:space="preserve">GATE CL 150 RF STL F6 TRIM NO COP</t>
  </si>
  <si>
    <t>0156084</t>
  </si>
  <si>
    <t xml:space="preserve">GATE CL 150 RF STL F6 GRAF FW BB</t>
  </si>
  <si>
    <t>0156088</t>
  </si>
  <si>
    <t xml:space="preserve">GATE CL 150 RF STL F6 GRAF FW BB GO</t>
  </si>
  <si>
    <t>0156860</t>
  </si>
  <si>
    <t xml:space="preserve">GATE CL 300 RF STL F6 TRIM BB</t>
  </si>
  <si>
    <t>0156873</t>
  </si>
  <si>
    <t xml:space="preserve">GATE CL 300 RF STL F6 TRIM FW GO</t>
  </si>
  <si>
    <t xml:space="preserve">GASKET CL 150 304 SS SP WND GRAF 4.5 MM THK</t>
  </si>
  <si>
    <t xml:space="preserve">GASKET CL 300 304 SS SP WND GRAF 4.5 MM THK</t>
  </si>
  <si>
    <t xml:space="preserve">STUD BOLT A193 B7 W/A194 GR 2H NUTS</t>
  </si>
  <si>
    <t>0156919</t>
  </si>
  <si>
    <t xml:space="preserve">GATE CL 300 RF CS #5 TR CL A</t>
  </si>
  <si>
    <t>0156920</t>
  </si>
  <si>
    <t xml:space="preserve">GATE CL 300 RF CS #5 TR GO CL A</t>
  </si>
  <si>
    <t>0156940</t>
  </si>
  <si>
    <t xml:space="preserve">GATE CL 300 RF STL F6/STEL SEATS BB</t>
  </si>
  <si>
    <t>0158160</t>
  </si>
  <si>
    <t xml:space="preserve">GATE CL 600 RF C STL WB #5 TR CL A</t>
  </si>
  <si>
    <t xml:space="preserve">GATE CL 600 RF STL F6/STEL GRAF BB</t>
  </si>
  <si>
    <t>0158303</t>
  </si>
  <si>
    <t xml:space="preserve">GATE CL 600 RF STL F6/STEL GRAF WB</t>
  </si>
  <si>
    <t xml:space="preserve">GATE CL 600 RF STL F6/STEL FRAF BB FULL PORT</t>
  </si>
  <si>
    <t>0158677</t>
  </si>
  <si>
    <t xml:space="preserve">GATECL 600 RF STL F6/STEL NACE</t>
  </si>
  <si>
    <t>0160364</t>
  </si>
  <si>
    <t xml:space="preserve">GLOBE CL 150 RF STL F6 TRIM NO COP</t>
  </si>
  <si>
    <t>0160461</t>
  </si>
  <si>
    <t xml:space="preserve">GLOBE CL 150 RF STL F6/STEL GRAF BB</t>
  </si>
  <si>
    <t>0160474</t>
  </si>
  <si>
    <t xml:space="preserve">GLOBE CL 150 RF C STL #5 TR CL A</t>
  </si>
  <si>
    <t>0160765</t>
  </si>
  <si>
    <t xml:space="preserve">GLOBE CL 800 BW STL F6/STEL WB XS BORE NACE</t>
  </si>
  <si>
    <t>0160831</t>
  </si>
  <si>
    <t xml:space="preserve">GLOBE CL 300 RF STL F6 TRIM BB</t>
  </si>
  <si>
    <t>0160844</t>
  </si>
  <si>
    <t xml:space="preserve">GLOBE CL 300 RF CS #5 TR CL A</t>
  </si>
  <si>
    <t>0161617</t>
  </si>
  <si>
    <t xml:space="preserve">GLOBE CL 600 RF STL F6/STEL BB</t>
  </si>
  <si>
    <t>0163450</t>
  </si>
  <si>
    <t xml:space="preserve">CHECK CL 150 RF STL F6 BB SWING</t>
  </si>
  <si>
    <t>0163795</t>
  </si>
  <si>
    <t xml:space="preserve">CHECK CL 150 RF STL F6 BB PISTON</t>
  </si>
  <si>
    <t>0163820</t>
  </si>
  <si>
    <t xml:space="preserve">CHECK CL 300 RF STL F6 TRIM SWING BB</t>
  </si>
  <si>
    <t>0163826</t>
  </si>
  <si>
    <t xml:space="preserve">CHECK CL 300 RF STL F6/STEL TRIM BB</t>
  </si>
  <si>
    <t>0164605</t>
  </si>
  <si>
    <t xml:space="preserve">CHECK-PISTON CL 600 RF STL F6/STEL TRIM BB</t>
  </si>
  <si>
    <t>0169477</t>
  </si>
  <si>
    <t xml:space="preserve">GATE CL 600 RF STL F6/STEL NO COP</t>
  </si>
  <si>
    <t>0280814</t>
  </si>
  <si>
    <t xml:space="preserve">CHECK CL 150 RF STL DBL FLG DUAL PLT #1</t>
  </si>
  <si>
    <t>0300990</t>
  </si>
  <si>
    <t xml:space="preserve">BALL  CL 150 RF STL FIRE SAFE HO</t>
  </si>
  <si>
    <t>0300996</t>
  </si>
  <si>
    <t xml:space="preserve">BALL FULL PT CL 300 RF STL COAL TAR SERVICE</t>
  </si>
  <si>
    <t>0311001</t>
  </si>
  <si>
    <t xml:space="preserve">GATE CL 800 SCRD/BW STL F6/STEL S&amp;D WB XS BORE</t>
  </si>
  <si>
    <t>0311070</t>
  </si>
  <si>
    <t xml:space="preserve">GATE CL 800 WB SCRD/BW XS BORE C STL #5 TR CL A</t>
  </si>
  <si>
    <t>0311101</t>
  </si>
  <si>
    <t xml:space="preserve">GATE CL 800 SCRD/BW XS STL F6/STEL WB NACE</t>
  </si>
  <si>
    <t>0311114</t>
  </si>
  <si>
    <t xml:space="preserve">GATE CL 800 BW/THD 316/316L 40S BORE</t>
  </si>
  <si>
    <t>0311860</t>
  </si>
  <si>
    <t xml:space="preserve">GATE CL 800 SCRD/BW STL F6/STEL S&amp;D WB XS NO COPP</t>
  </si>
  <si>
    <t>0312390</t>
  </si>
  <si>
    <t xml:space="preserve">GATE CL 800 WB BW XS C STL #5 TR CL A</t>
  </si>
  <si>
    <t>0312600</t>
  </si>
  <si>
    <t xml:space="preserve">GATE CL 800 BW STL F6/STEL GRAPH WB XS BORE</t>
  </si>
  <si>
    <t>0312782</t>
  </si>
  <si>
    <t xml:space="preserve">GATE CL 1500 BW F6/STEL XS BORE FW</t>
  </si>
  <si>
    <t>0312964</t>
  </si>
  <si>
    <t xml:space="preserve">GATE CL 2500 BW-160 STL F6/STEL PSB GR OP</t>
  </si>
  <si>
    <t>0313345</t>
  </si>
  <si>
    <t xml:space="preserve">GLOBE CL 300 BW STL F6/STEL STD BORE BB</t>
  </si>
  <si>
    <t>0313890</t>
  </si>
  <si>
    <t xml:space="preserve">GLOBE CL 800 WB BW XS C STL #5 TR CL A</t>
  </si>
  <si>
    <t>0314211</t>
  </si>
  <si>
    <t xml:space="preserve">GLOBE CL 1500 BW STL F6/STEL XS BORE PSB</t>
  </si>
  <si>
    <t>0341200</t>
  </si>
  <si>
    <t xml:space="preserve">GLOBE CL 800 BW STL F6/STEL GRAPH WB XS BORE</t>
  </si>
  <si>
    <t>0351200</t>
  </si>
  <si>
    <t xml:space="preserve">CHECK CL 800 BW-XS STL F6/STEL GRAPH</t>
  </si>
  <si>
    <t>0353986</t>
  </si>
  <si>
    <t xml:space="preserve">BALL VALVE CL 600 3 PIECE BW-XS C STL</t>
  </si>
  <si>
    <t>0356025</t>
  </si>
  <si>
    <t xml:space="preserve">PIPE SCH 10 SMLS STL A106 B</t>
  </si>
  <si>
    <t>0356027</t>
  </si>
  <si>
    <t xml:space="preserve">PIPE SCH 20 SMLS STL A106 B</t>
  </si>
  <si>
    <t>0356029</t>
  </si>
  <si>
    <t xml:space="preserve">PIPE SCH 40 SMLS STL A106 B</t>
  </si>
  <si>
    <t>0356030</t>
  </si>
  <si>
    <t xml:space="preserve">PIPE STD WT SMLS STL A106 B</t>
  </si>
  <si>
    <t xml:space="preserve">PIPE SCH 80 SMLS STL A106 B</t>
  </si>
  <si>
    <t>0356037</t>
  </si>
  <si>
    <t xml:space="preserve">PIPE SCH 160 SMLS STL A106 B</t>
  </si>
  <si>
    <t>0356092</t>
  </si>
  <si>
    <t>0356096</t>
  </si>
  <si>
    <t xml:space="preserve">PIPE SCH 80 SMLS A106 B</t>
  </si>
  <si>
    <t>0356103</t>
  </si>
  <si>
    <t xml:space="preserve">PIPE SCH 140 SMLS STL A106 B</t>
  </si>
  <si>
    <t>0356230</t>
  </si>
  <si>
    <t xml:space="preserve">PIPE SCH 40 SMLS STL API-5L-B</t>
  </si>
  <si>
    <t>0356233</t>
  </si>
  <si>
    <t xml:space="preserve">PIPE SCH 80 SMLS STL API 5L B</t>
  </si>
  <si>
    <t>0356238</t>
  </si>
  <si>
    <t xml:space="preserve">PIPE SCH 160 SMLS STL API 5L B</t>
  </si>
  <si>
    <t>0356646</t>
  </si>
  <si>
    <t xml:space="preserve">PIPE SCH 20 ERW API 5L B</t>
  </si>
  <si>
    <t>0356648</t>
  </si>
  <si>
    <t xml:space="preserve">PIPE SCH 40 ERW STL API 5L B</t>
  </si>
  <si>
    <t>0356651</t>
  </si>
  <si>
    <t xml:space="preserve">PIPE SCH 80 ERW STL API 5L B BSP FEMALE THREAD</t>
  </si>
  <si>
    <t>0356700</t>
  </si>
  <si>
    <t xml:space="preserve">PIPE SCH 10 DSAW API-5L B</t>
  </si>
  <si>
    <t>0356806</t>
  </si>
  <si>
    <t xml:space="preserve">PIPE SCH 20 ERW SABS 719 B</t>
  </si>
  <si>
    <t>0358400</t>
  </si>
  <si>
    <t xml:space="preserve">PIPE MED CL WELDED SABS 62 GALV T&amp;C</t>
  </si>
  <si>
    <t>0358504</t>
  </si>
  <si>
    <t xml:space="preserve">PIPE SCH 40 SMLS NORM STL A333-6</t>
  </si>
  <si>
    <t>0366806</t>
  </si>
  <si>
    <t xml:space="preserve">PIPE SCH 20 ERW SANS 719-B</t>
  </si>
  <si>
    <t>0366809</t>
  </si>
  <si>
    <t xml:space="preserve">PIPE 6MM WALL ERW SANS 719-B</t>
  </si>
  <si>
    <t>0369228</t>
  </si>
  <si>
    <t xml:space="preserve">PIPE SCH 40 ERW API 5L B C&amp;W</t>
  </si>
  <si>
    <t>0369229</t>
  </si>
  <si>
    <t xml:space="preserve">PIPE STD WT ERW API 5L B C&amp;W</t>
  </si>
  <si>
    <t>0373898</t>
  </si>
  <si>
    <t xml:space="preserve">ELL 90 DEG LR SCH 10 STL A234 WPB</t>
  </si>
  <si>
    <t>0373952</t>
  </si>
  <si>
    <t xml:space="preserve">ELL 90 DEG LR SCH 20 STL A234 WPB</t>
  </si>
  <si>
    <t>0373958</t>
  </si>
  <si>
    <t xml:space="preserve">ELL 45 DEG LR SCH 20 STL A234 WPB</t>
  </si>
  <si>
    <t>0373961</t>
  </si>
  <si>
    <t xml:space="preserve">TEE SCH 20 STL A234 WPB</t>
  </si>
  <si>
    <t>0373962</t>
  </si>
  <si>
    <t xml:space="preserve">CAP SCH 20 STL A234 WPB</t>
  </si>
  <si>
    <t>0373963</t>
  </si>
  <si>
    <t xml:space="preserve">REDUCER CONC SCH 20 STL A234 WPB</t>
  </si>
  <si>
    <t>0373964</t>
  </si>
  <si>
    <t xml:space="preserve">REDUCER ECC SCH 20 STL A234 WPB</t>
  </si>
  <si>
    <t>0374114</t>
  </si>
  <si>
    <t xml:space="preserve">ELL 90 DEG LR STD WT STL A234 WPB</t>
  </si>
  <si>
    <t>0374120</t>
  </si>
  <si>
    <t xml:space="preserve">ELL 45 DEG LR STD WT STL A234 WPB</t>
  </si>
  <si>
    <t>0374123</t>
  </si>
  <si>
    <t xml:space="preserve">TEE STD WT STL A234 WPB</t>
  </si>
  <si>
    <t>0374124</t>
  </si>
  <si>
    <t xml:space="preserve">CAP STD WT STL A234 WPB</t>
  </si>
  <si>
    <t>0374125</t>
  </si>
  <si>
    <t xml:space="preserve">REDUCER CONC STD WT STL A234 WPB</t>
  </si>
  <si>
    <t>0374126</t>
  </si>
  <si>
    <t xml:space="preserve">REDUCER ECC STD WT STL A234 WPB</t>
  </si>
  <si>
    <t>0374233</t>
  </si>
  <si>
    <t xml:space="preserve">RED CONC SCH 80 STL A234 WPB</t>
  </si>
  <si>
    <t>0374276</t>
  </si>
  <si>
    <t xml:space="preserve">ELL 90 DEG LR SCH XS STL A234 WPB</t>
  </si>
  <si>
    <t>0374282</t>
  </si>
  <si>
    <t xml:space="preserve">ELL 45 DEG LR SCH XS STL A234 WPB</t>
  </si>
  <si>
    <t xml:space="preserve">RED TEE SCH XS STL A234 WPB</t>
  </si>
  <si>
    <t>0374286</t>
  </si>
  <si>
    <t xml:space="preserve">CAP SCH XS STL A234 WPB</t>
  </si>
  <si>
    <t>0374287</t>
  </si>
  <si>
    <t xml:space="preserve">REDUCER CONC SCH XS STL A234 WPB</t>
  </si>
  <si>
    <t>0374288</t>
  </si>
  <si>
    <t xml:space="preserve">REDUCER ECC SCH XS STL A234 WPB</t>
  </si>
  <si>
    <t>0374289</t>
  </si>
  <si>
    <t>0374448</t>
  </si>
  <si>
    <t xml:space="preserve">CAP SCH 140 STL A234 WPB</t>
  </si>
  <si>
    <t>0374492</t>
  </si>
  <si>
    <t xml:space="preserve">ELL 90 DEG LR SCH 160 STL A234 WPB</t>
  </si>
  <si>
    <t>0374498</t>
  </si>
  <si>
    <t>0374501</t>
  </si>
  <si>
    <t xml:space="preserve">TEE SCH 160 STL A234 WPB</t>
  </si>
  <si>
    <t>0374503</t>
  </si>
  <si>
    <t xml:space="preserve">REDUCER CONC SCH 160 STL A234 WPB</t>
  </si>
  <si>
    <t>0374504</t>
  </si>
  <si>
    <t xml:space="preserve">REDUCER ECC SCH 160 STL A234 WPB</t>
  </si>
  <si>
    <t>0374525</t>
  </si>
  <si>
    <t xml:space="preserve">RED TEE SCH 160 STL A234 WPB</t>
  </si>
  <si>
    <t>0374555</t>
  </si>
  <si>
    <t xml:space="preserve">TEE SCH XXS STL A234 WPB</t>
  </si>
  <si>
    <t>0374557</t>
  </si>
  <si>
    <t xml:space="preserve">REDUCER CONC SCH XXS STL A234 WPB</t>
  </si>
  <si>
    <t>0478830</t>
  </si>
  <si>
    <t xml:space="preserve">ELL 90 DEG 3000LB SW STL A105</t>
  </si>
  <si>
    <t>0478831</t>
  </si>
  <si>
    <t xml:space="preserve">ELL 45 DEG 3000LB SW STL A105</t>
  </si>
  <si>
    <t>0478832</t>
  </si>
  <si>
    <t xml:space="preserve">TEE 3000LB SW STL A105</t>
  </si>
  <si>
    <t>0478833</t>
  </si>
  <si>
    <t xml:space="preserve">CAP 3000LB SW STL Al05</t>
  </si>
  <si>
    <t>0478840</t>
  </si>
  <si>
    <t xml:space="preserve">TUBE UNION COMPR 316 T X  T DBL FERRULE</t>
  </si>
  <si>
    <t>0478893</t>
  </si>
  <si>
    <t xml:space="preserve">HALF COUPLING 3000LB SW STL A105</t>
  </si>
  <si>
    <t>0487994</t>
  </si>
  <si>
    <t xml:space="preserve">PLUG SǪUARE HEAD SCRD BRASS B61</t>
  </si>
  <si>
    <t>0488671</t>
  </si>
  <si>
    <t xml:space="preserve">ELL 90 DEG SCRD GALV MI SANS 14</t>
  </si>
  <si>
    <t>0488673</t>
  </si>
  <si>
    <t xml:space="preserve">ELL 45 DEG SCRD GALV MI SANS 14</t>
  </si>
  <si>
    <t>0488675</t>
  </si>
  <si>
    <t xml:space="preserve">TEE SCRD GALV MI SANS 14</t>
  </si>
  <si>
    <t>0488676</t>
  </si>
  <si>
    <t xml:space="preserve">CAP SCRD GALV MI SANS 14</t>
  </si>
  <si>
    <t xml:space="preserve">SOCKET RED SCRD GALV MI SANS 14</t>
  </si>
  <si>
    <t>0488682</t>
  </si>
  <si>
    <t xml:space="preserve">RED TEE SCRD GALV MI RED RUN EǪ BR SANS 14</t>
  </si>
  <si>
    <t>0488696</t>
  </si>
  <si>
    <t xml:space="preserve">PLUG SǪUARE HEAD SCRD GALV MI SANS 14</t>
  </si>
  <si>
    <t>0488703</t>
  </si>
  <si>
    <t xml:space="preserve">UNION SCRD GALV MI SANS 14</t>
  </si>
  <si>
    <t>0490533</t>
  </si>
  <si>
    <t xml:space="preserve">CAP CL 3000 SCRD STL A105</t>
  </si>
  <si>
    <t>0490553</t>
  </si>
  <si>
    <t>0490554</t>
  </si>
  <si>
    <t xml:space="preserve">COUPLING CL 3000 SCRD STL A105</t>
  </si>
  <si>
    <t>0490662</t>
  </si>
  <si>
    <t xml:space="preserve">PLUG SǪUARE HEAD SCRD STL A105</t>
  </si>
  <si>
    <t>0503812</t>
  </si>
  <si>
    <t xml:space="preserve">WELDOLET SCH XS STL A105 WPB</t>
  </si>
  <si>
    <t xml:space="preserve">WELDOLET SCH XS BW/BE STL A105</t>
  </si>
  <si>
    <t>0504635</t>
  </si>
  <si>
    <t xml:space="preserve">WELDOLET SCH 20 STL A105</t>
  </si>
  <si>
    <t>0504651</t>
  </si>
  <si>
    <t xml:space="preserve">WELDOLET STD WT STL A105</t>
  </si>
  <si>
    <t>0504655</t>
  </si>
  <si>
    <t xml:space="preserve">FLAT WELDOLET STD WT STL A105</t>
  </si>
  <si>
    <t>0504771</t>
  </si>
  <si>
    <t xml:space="preserve">WELDOLET SCH XS STL A105</t>
  </si>
  <si>
    <t>0504812</t>
  </si>
  <si>
    <t>0504911</t>
  </si>
  <si>
    <t xml:space="preserve">WELDOLET SCH 160 STL A105</t>
  </si>
  <si>
    <t>0504988</t>
  </si>
  <si>
    <t xml:space="preserve">NIPPLE SCH 160 STL A106 B BOE/TOE</t>
  </si>
  <si>
    <t>0521145</t>
  </si>
  <si>
    <t xml:space="preserve">LATROLET STD WT BW STL A105</t>
  </si>
  <si>
    <t>0521520</t>
  </si>
  <si>
    <t xml:space="preserve">LATROLET SCH 20 BW STL A105</t>
  </si>
  <si>
    <t>0540925</t>
  </si>
  <si>
    <t xml:space="preserve">NIPPLE SCH XS STD A106-B PBE</t>
  </si>
  <si>
    <t>0540927</t>
  </si>
  <si>
    <t xml:space="preserve">NIPPLE SCH 80 STL A106 B BOE/TOE 100MM</t>
  </si>
  <si>
    <t>0540928</t>
  </si>
  <si>
    <t xml:space="preserve">NIPPLE SCH 80 STL A106 B BBE 100MM</t>
  </si>
  <si>
    <t>0540929</t>
  </si>
  <si>
    <t xml:space="preserve">NIPPLE SCH XXS STL A106 B BOE/TOE 100MM</t>
  </si>
  <si>
    <t>0540988</t>
  </si>
  <si>
    <t xml:space="preserve">NIPPLE SCH 160 STL A106 B BOE/TOE 100MM</t>
  </si>
  <si>
    <t>0543591</t>
  </si>
  <si>
    <t xml:space="preserve">SWAGE CONC SCH XS STL A234 WPB TSE</t>
  </si>
  <si>
    <t>0554359</t>
  </si>
  <si>
    <t xml:space="preserve">FLANGE WN CL 150 FF STD BORE STL A105</t>
  </si>
  <si>
    <t>0554393</t>
  </si>
  <si>
    <t xml:space="preserve">FLANGE WN CL 150 RF STL 10 BORE A105</t>
  </si>
  <si>
    <t>0554394</t>
  </si>
  <si>
    <t xml:space="preserve">FLANGE WN CL 150 RF 20 BORE STL A105</t>
  </si>
  <si>
    <t>0554395</t>
  </si>
  <si>
    <t xml:space="preserve">FLANGE WN CL 150 RF STD BORE STL A105</t>
  </si>
  <si>
    <t xml:space="preserve">FLANGE WN CL 150 RF XS BORE A105</t>
  </si>
  <si>
    <t>0554621</t>
  </si>
  <si>
    <t xml:space="preserve">FLANGE WN CL 300 RF 20 BORE STL A105</t>
  </si>
  <si>
    <t>0554624</t>
  </si>
  <si>
    <t xml:space="preserve">FLANGE WN CL 300 RF STL A105 STD BORE</t>
  </si>
  <si>
    <t xml:space="preserve">FLANGE WN CL 300 RF XS BORE STL A105</t>
  </si>
  <si>
    <t>0554629</t>
  </si>
  <si>
    <t xml:space="preserve">FLANGE WN CL 300 RF 160 BORE  STL A105</t>
  </si>
  <si>
    <t>0555104</t>
  </si>
  <si>
    <t xml:space="preserve">FLANGE WN CL 600 RF STL STD BORE A105</t>
  </si>
  <si>
    <t>0555613</t>
  </si>
  <si>
    <t xml:space="preserve">FLANGE WN CL 1500 RF XS BORE A105</t>
  </si>
  <si>
    <t>0555649</t>
  </si>
  <si>
    <t xml:space="preserve">FLANGE WN CL 1500 RJ XS BORE A105</t>
  </si>
  <si>
    <t>0555653</t>
  </si>
  <si>
    <t xml:space="preserve">FLANGE WN CL 1500 RJ 160 BORE A105</t>
  </si>
  <si>
    <t>0555853</t>
  </si>
  <si>
    <t xml:space="preserve">FLANGE WN CL 2500 RF STL A105 160 BORE</t>
  </si>
  <si>
    <t>0555887</t>
  </si>
  <si>
    <t xml:space="preserve">FLANGE WN CL 2500 RJ STL A105 160 BORE</t>
  </si>
  <si>
    <t>0555888</t>
  </si>
  <si>
    <t xml:space="preserve">FLANGE WN CL 2500 RJ STL A105 XXS BORE</t>
  </si>
  <si>
    <t>0597025</t>
  </si>
  <si>
    <t xml:space="preserve">FLANGE LONG WN CL 600 BJ STL A105</t>
  </si>
  <si>
    <t>0597469</t>
  </si>
  <si>
    <t xml:space="preserve">FLANGE SO CL 150 RF STL A105</t>
  </si>
  <si>
    <t>0597472</t>
  </si>
  <si>
    <t xml:space="preserve">FLANGE SO CL 150 FF STL A105</t>
  </si>
  <si>
    <t>0597491</t>
  </si>
  <si>
    <t xml:space="preserve">FLG SO 300LB RF STL Al05</t>
  </si>
  <si>
    <t>0599620</t>
  </si>
  <si>
    <t xml:space="preserve">FLANGE SCRD CL 300 RF STL A105</t>
  </si>
  <si>
    <t>0599667</t>
  </si>
  <si>
    <t xml:space="preserve">FLANGE SCRD CL 150 RF STL A105 BS21</t>
  </si>
  <si>
    <t>0601824</t>
  </si>
  <si>
    <t xml:space="preserve">FLG SW 300LB RF STL XS BORE A105</t>
  </si>
  <si>
    <t>0615474</t>
  </si>
  <si>
    <t xml:space="preserve">FLANGE BLIND CL 150 RF GALV STL A105</t>
  </si>
  <si>
    <t>0615476</t>
  </si>
  <si>
    <t xml:space="preserve">FLANGE BLIND CL 150 RF STL A105</t>
  </si>
  <si>
    <t>0615477</t>
  </si>
  <si>
    <t xml:space="preserve">FLANGE BLIND CL 150 FF STL A105</t>
  </si>
  <si>
    <t xml:space="preserve">FLANGE BLIND CL 300 RF STL A105</t>
  </si>
  <si>
    <t>0615511</t>
  </si>
  <si>
    <t xml:space="preserve">THERM BACK FLANGE CL 600 BJ STL A105</t>
  </si>
  <si>
    <t>0615527</t>
  </si>
  <si>
    <t xml:space="preserve">FLANGE BLIND CL 1500LB RJ STL A105</t>
  </si>
  <si>
    <t>0615534</t>
  </si>
  <si>
    <t xml:space="preserve">THERM BACK FLANGE CL 2500 BJ STL A105</t>
  </si>
  <si>
    <t>0615536</t>
  </si>
  <si>
    <t xml:space="preserve">FLANGE BLIND CL 2500 STL A105</t>
  </si>
  <si>
    <t>0617845</t>
  </si>
  <si>
    <t xml:space="preserve">FLANGE WN CL 300 RFSF 1O BORE STL A105</t>
  </si>
  <si>
    <t>0622517</t>
  </si>
  <si>
    <t xml:space="preserve">WN ORIF FLG SET CL 300 RF 20 BORE STL A105</t>
  </si>
  <si>
    <t>0622520</t>
  </si>
  <si>
    <t xml:space="preserve">WN ORIF FLG SET CL 300 RF STD BORE STL A105</t>
  </si>
  <si>
    <t>0622523</t>
  </si>
  <si>
    <t xml:space="preserve">WN ORIF FLG SET CL 300 RF STL XS BORE A105</t>
  </si>
  <si>
    <t>0665102</t>
  </si>
  <si>
    <t xml:space="preserve">GASKET CL 150 FF FLEX GRAF 2 MM THK</t>
  </si>
  <si>
    <t>0665451</t>
  </si>
  <si>
    <t xml:space="preserve">GASKET 300LB ASB RING PART AGENT 1/16" THK</t>
  </si>
  <si>
    <t>0672054</t>
  </si>
  <si>
    <t xml:space="preserve">Y STRAINER CL 150 SCRD BRONZ BS21 0,033 PERF</t>
  </si>
  <si>
    <t>0672196</t>
  </si>
  <si>
    <t xml:space="preserve">GASKET CL 600 304 SS SP WND GRAFOIL 4.5MM</t>
  </si>
  <si>
    <t>0672255</t>
  </si>
  <si>
    <t xml:space="preserve">GASKET CL 1500 304 SS SP WND GRAFOIL INT RING</t>
  </si>
  <si>
    <t>0672430</t>
  </si>
  <si>
    <t xml:space="preserve">GASKET CL 300 316SS SPWND GRAF INT RING</t>
  </si>
  <si>
    <t>0672604</t>
  </si>
  <si>
    <t xml:space="preserve">BASKET STRAINER CL 150 RF SCH 40 304SS WIRE DIAM 1,6MM &amp; 1,4MM GAP</t>
  </si>
  <si>
    <t>0674494</t>
  </si>
  <si>
    <t xml:space="preserve">GASKET CL 1500 RJ SOFT IRON OVAL RING</t>
  </si>
  <si>
    <t>0674495</t>
  </si>
  <si>
    <t xml:space="preserve">GASKET CL 2500 RJ SOFT IRON OVAL RING</t>
  </si>
  <si>
    <t>0675650</t>
  </si>
  <si>
    <t xml:space="preserve">STUD BOLT A193 B7M W/A194 2HM NUTS</t>
  </si>
  <si>
    <t>0733803</t>
  </si>
  <si>
    <t xml:space="preserve">Y-STRAINER CL 150 RF STL (0.33 INCH PERF)</t>
  </si>
  <si>
    <t>0749567</t>
  </si>
  <si>
    <t xml:space="preserve">BLIND SPECTACLE CL 1500 RF STL</t>
  </si>
  <si>
    <t>0749583</t>
  </si>
  <si>
    <t xml:space="preserve">BLIND SPECTACLE CL 150 RF STL</t>
  </si>
  <si>
    <t>0749584</t>
  </si>
  <si>
    <t xml:space="preserve">BLIND SPECTACLE CL 300 RF STL</t>
  </si>
  <si>
    <t>0749585</t>
  </si>
  <si>
    <t xml:space="preserve">BLIND SPECTACLE CL 600 RF STL</t>
  </si>
  <si>
    <t>0751355</t>
  </si>
  <si>
    <t xml:space="preserve">SUPD FEMALE GROUND JOINT X THRD BIXON GJ BOSS STYLE ASME B1,20,1</t>
  </si>
  <si>
    <t>0754332</t>
  </si>
  <si>
    <t xml:space="preserve">HE1-6 (HANDWHEEL EXTENSION)</t>
  </si>
  <si>
    <t>0756630</t>
  </si>
  <si>
    <t xml:space="preserve">INSULATION FLANGE SET RING GSKT 3MM</t>
  </si>
  <si>
    <t>0761113</t>
  </si>
  <si>
    <t xml:space="preserve">BLEED RING CL 150 RF STL STDD BR4</t>
  </si>
  <si>
    <t>0761115</t>
  </si>
  <si>
    <t xml:space="preserve">BLEED RING CL 300 RF STL STDD-BR4</t>
  </si>
  <si>
    <t>0761116</t>
  </si>
  <si>
    <t xml:space="preserve">BLEED RING CL 300 RF STL STDD-BR5</t>
  </si>
  <si>
    <t>0761132</t>
  </si>
  <si>
    <t xml:space="preserve">BLEED RING CL 300 RF STL DBL TAP STDD-BR4</t>
  </si>
  <si>
    <t>0762054</t>
  </si>
  <si>
    <t xml:space="preserve">Y-STRAINER CL 150 SCRD BRONZE BS21 (0.033 PERF)</t>
  </si>
  <si>
    <t>0762603</t>
  </si>
  <si>
    <t xml:space="preserve">STRAINER CL 150 RF STD WT 304 SS BASKET MECH OPENING --MM</t>
  </si>
  <si>
    <t>0762604</t>
  </si>
  <si>
    <t xml:space="preserve">STRAINER CL 150 RF SCH STD 304 SS BASKET (MECH OPENING XXmm)</t>
  </si>
  <si>
    <t>0762664</t>
  </si>
  <si>
    <t xml:space="preserve">STRAINER CL 150 RF STD 304 SS BASKET (MECH OPENING 3.5MM)</t>
  </si>
  <si>
    <t>0763065</t>
  </si>
  <si>
    <t xml:space="preserve">Y-STRAINER CL 300 RF STL 304/316 STR (0.33)</t>
  </si>
  <si>
    <t>0805464</t>
  </si>
  <si>
    <t xml:space="preserve">FS5-3 FIELD SUPPORT</t>
  </si>
  <si>
    <t>0805819</t>
  </si>
  <si>
    <t xml:space="preserve">DA 1 DIRECTIONAL ANCHOR</t>
  </si>
  <si>
    <t>0805896</t>
  </si>
  <si>
    <t xml:space="preserve">A3 ANCHOR</t>
  </si>
  <si>
    <t>0805918</t>
  </si>
  <si>
    <t xml:space="preserve">DA2 DIRECTIONAL ANCHOR</t>
  </si>
  <si>
    <t>0805920</t>
  </si>
  <si>
    <t xml:space="preserve">HR1-2 HANGER ROD</t>
  </si>
  <si>
    <t>0805924</t>
  </si>
  <si>
    <t xml:space="preserve">FS1-2 (FIELD SUPPORT)</t>
  </si>
  <si>
    <t>0805929</t>
  </si>
  <si>
    <t xml:space="preserve">FS6 FIELD SUPPORT</t>
  </si>
  <si>
    <t>0805931</t>
  </si>
  <si>
    <t xml:space="preserve">FS8 (FIELD SUPPORT)</t>
  </si>
  <si>
    <t>0805940</t>
  </si>
  <si>
    <t xml:space="preserve">FS13 FIELD SUPPORT</t>
  </si>
  <si>
    <t>0805941</t>
  </si>
  <si>
    <t xml:space="preserve">G1 (GUIDE)</t>
  </si>
  <si>
    <t xml:space="preserve">G2 (GUIDE)</t>
  </si>
  <si>
    <t>0805943</t>
  </si>
  <si>
    <t xml:space="preserve">G3 GUIDE</t>
  </si>
  <si>
    <t>0805944</t>
  </si>
  <si>
    <t xml:space="preserve">G4 GUIDE</t>
  </si>
  <si>
    <t>0805950</t>
  </si>
  <si>
    <t xml:space="preserve">HR 1-2 (HANGER ROD)</t>
  </si>
  <si>
    <t>0805964</t>
  </si>
  <si>
    <t>0805965</t>
  </si>
  <si>
    <t>PUI-6"-2"</t>
  </si>
  <si>
    <t>0805966</t>
  </si>
  <si>
    <t xml:space="preserve">PU2 PICK UP</t>
  </si>
  <si>
    <t>0805968</t>
  </si>
  <si>
    <t xml:space="preserve">PU4 (PICK UP)</t>
  </si>
  <si>
    <t>0805971</t>
  </si>
  <si>
    <t xml:space="preserve">PU 7 (PICK-UP)</t>
  </si>
  <si>
    <t>0805978</t>
  </si>
  <si>
    <t xml:space="preserve">S1-3 SHOE</t>
  </si>
  <si>
    <t>0805982</t>
  </si>
  <si>
    <t xml:space="preserve">S 5-6 (SHOE)</t>
  </si>
  <si>
    <t>0806004</t>
  </si>
  <si>
    <t xml:space="preserve">U-BOLT (CARBON STEEL)</t>
  </si>
  <si>
    <t>0806021</t>
  </si>
  <si>
    <t xml:space="preserve">HO-1 (HOLD DOWN)</t>
  </si>
  <si>
    <t>0806189</t>
  </si>
  <si>
    <t>0806819</t>
  </si>
  <si>
    <t xml:space="preserve">DA1-1 (DIRECTIONAL ANCHOR)</t>
  </si>
  <si>
    <t>1000416</t>
  </si>
  <si>
    <t xml:space="preserve">GLOVE CL 1500 Y-PATTERN BW 160 BORE #5 TRIM</t>
  </si>
  <si>
    <t>1000428</t>
  </si>
  <si>
    <t xml:space="preserve">CHK 2500 BW-160 TILT DISC STL #8 TR PRS SL</t>
  </si>
  <si>
    <t>1000475</t>
  </si>
  <si>
    <t xml:space="preserve">GATE CL 1500 STL BW-160 #5 TRIM</t>
  </si>
  <si>
    <t>1001047</t>
  </si>
  <si>
    <t xml:space="preserve">TUBE SMLS 316 0. 049 INCH THK A269 SFT ANNL</t>
  </si>
  <si>
    <t>1001050</t>
  </si>
  <si>
    <t xml:space="preserve">PIPE TO TUBE CNNCTR 316 T(DBL FRRLE) X FPT</t>
  </si>
  <si>
    <t>1001112</t>
  </si>
  <si>
    <t xml:space="preserve">GATE CL 150 RF STL #5 TR BB NACE</t>
  </si>
  <si>
    <t>1001115</t>
  </si>
  <si>
    <t xml:space="preserve">CHECK CL 150 RF SWING #STR BC NACE</t>
  </si>
  <si>
    <t>1001118</t>
  </si>
  <si>
    <t xml:space="preserve">GATE CL 300 RF STL #5 TRIM 88 NACE</t>
  </si>
  <si>
    <t>1001121</t>
  </si>
  <si>
    <t xml:space="preserve">CHECK CL 300 RF SWING #5 TRIM BB NACE</t>
  </si>
  <si>
    <t>1001227</t>
  </si>
  <si>
    <t xml:space="preserve">BALL CL 150 FF STL 316 TR FIRE FULL PT</t>
  </si>
  <si>
    <t xml:space="preserve">COUPLING CL 3000 SCRD BSP ASTM A105</t>
  </si>
  <si>
    <t>1001724</t>
  </si>
  <si>
    <t xml:space="preserve">FLANGE LONG WN CL 600 RF 25.4MM A105 CS</t>
  </si>
  <si>
    <t>1002598</t>
  </si>
  <si>
    <t xml:space="preserve">INSULATION FLANGE SET RING GSKT 3mm CL 300</t>
  </si>
  <si>
    <t>1004150</t>
  </si>
  <si>
    <t xml:space="preserve">COUPLING HOSE CHICARGO CLAW THRD FEMALE BRASS ASME B,1,20,1</t>
  </si>
  <si>
    <t xml:space="preserve">HOSE COUPLING CHICARGO CLAW TYPE UNIVERSAL 2 LUG CONNECTION THREADED NPT FEMALE BRASS W/ NEOPRENE SEAL</t>
  </si>
  <si>
    <t xml:space="preserve">HOSE COUPLING MALE SPUD SCRD BSP MI EVERTITE 1055</t>
  </si>
  <si>
    <t>1004611</t>
  </si>
  <si>
    <t xml:space="preserve">FLAT WELDOLET SCH 80 STL A105</t>
  </si>
  <si>
    <t>1006940</t>
  </si>
  <si>
    <t xml:space="preserve">BALL VALVE CL 600 RF C STL</t>
  </si>
  <si>
    <t>1006943</t>
  </si>
  <si>
    <t xml:space="preserve">GATE CL 300 RF C STL #5 TR CL A FULL PORT</t>
  </si>
  <si>
    <t>1006945</t>
  </si>
  <si>
    <t xml:space="preserve">GATE CL 600 RF CS WB #5 TR CL A FULL PORT</t>
  </si>
  <si>
    <t>1006946</t>
  </si>
  <si>
    <t xml:space="preserve">GATE CL 150 RF C STL #5 TR CL A FULL PORT</t>
  </si>
  <si>
    <t>-</t>
  </si>
  <si>
    <t xml:space="preserve">GATE CL 150 SCRD BRONZE BS 21</t>
  </si>
  <si>
    <t xml:space="preserve">RED TEE SCRD GALV MI SANS 14</t>
  </si>
  <si>
    <t>0374114T</t>
  </si>
  <si>
    <t xml:space="preserve">TRIMMED ELL 90 DEG LR STD WT STL A234 WPB (73,4)</t>
  </si>
  <si>
    <t>ANGLE</t>
  </si>
  <si>
    <t xml:space="preserve">EN10025-2-S355-JR ANGLE SECTION</t>
  </si>
  <si>
    <t>CHANNEL</t>
  </si>
  <si>
    <t xml:space="preserve">EN10025-2-S355-JR CHANNEL SECTION</t>
  </si>
  <si>
    <t>CSMTF</t>
  </si>
  <si>
    <t xml:space="preserve">CHANNEL SECTION (METRIC TAPER FLANGE) (EN 10025 S355 JO-AR + S2)</t>
  </si>
  <si>
    <t>EXPM1</t>
  </si>
  <si>
    <t xml:space="preserve">EXPANDED METAL ASTM F1267 TYPE 1 CLASS 2 STYLE 1 16 ASTM CS TYPE B 25X50X2</t>
  </si>
  <si>
    <t>EXPMM</t>
  </si>
  <si>
    <t xml:space="preserve">EXPANDED METAL CARBON STEEL MESH SWM 5MM X MENTEX LWN X10MM</t>
  </si>
  <si>
    <t>GR10</t>
  </si>
  <si>
    <t xml:space="preserve">GARLOCK LINK SEAL MODEL T SILICONE WITH STEEL ZINC DICHROMATE PRESSURE PLATE LINK QTY 810 SUPPLIER REF LS-300T-10 OR SUITABLE EQUIVALENT</t>
  </si>
  <si>
    <t>GR8</t>
  </si>
  <si>
    <t xml:space="preserve">GARLOCK LINK SEAL MODEL T SILICONE WITH STEEL ZINC DICHROMATE PRESSURE PLATE LINK QTY 8 SUPPLIER REF LS-300T-8 OR SUITABLE EQUIVALENT</t>
  </si>
  <si>
    <t>HHST3</t>
  </si>
  <si>
    <t xml:space="preserve">HILTI ANCHOR 70MM EMBED M16 GR8,8 GALV</t>
  </si>
  <si>
    <t>HST3</t>
  </si>
  <si>
    <t xml:space="preserve">HILTI HST3 STUD ANCHOR WITH 70MM EMBEDMENT M16 GR8, 8 STEEL GALV, INSULATION AS PER ETA 98/001 (ANY SIMILAR MECH. ANCHOR BOLT)</t>
  </si>
  <si>
    <t xml:space="preserve">NO MATERIAL</t>
  </si>
  <si>
    <t>PLATE</t>
  </si>
  <si>
    <t xml:space="preserve">EN10025-2-S355 JR PLATE SECTION</t>
  </si>
  <si>
    <t>PLATE2</t>
  </si>
  <si>
    <t xml:space="preserve">EN10023-2-S355 JR PLATE SECTION</t>
  </si>
  <si>
    <t>PLGR70</t>
  </si>
  <si>
    <t xml:space="preserve">ASTM A516 GR 70 PLATE SECTION</t>
  </si>
  <si>
    <t>RBS275</t>
  </si>
  <si>
    <t xml:space="preserve">EN10025-2-S275 JR ROUND BAR 14 diameter</t>
  </si>
  <si>
    <t>ROUND</t>
  </si>
  <si>
    <t xml:space="preserve">EN10025-2-S355 JR ROUND BAR</t>
  </si>
  <si>
    <t>TERM</t>
  </si>
  <si>
    <t xml:space="preserve">THERM BACK FLG CL 600 RF (BY Instrumentation)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</si>
</sst>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2.000000"/>
      <color theme="1"/>
      <name val="Arial"/>
    </font>
    <font>
      <sz val="11.000000"/>
      <color theme="1"/>
      <name val="Century Gothic"/>
    </font>
    <font>
      <sz val="11.000000"/>
      <color theme="1"/>
      <name val="Calibri"/>
      <scheme val="minor"/>
    </font>
    <font>
      <sz val="12.000000"/>
      <name val="Arial"/>
    </font>
    <font>
      <sz val="8.000000"/>
      <name val="Arial"/>
    </font>
    <font>
      <sz val="10.000000"/>
      <name val="Arial"/>
    </font>
    <font>
      <b/>
      <sz val="9.000000"/>
      <name val="Arial"/>
    </font>
    <font>
      <b/>
      <sz val="9.000000"/>
      <color indexed="2"/>
      <name val="Arial"/>
    </font>
    <font>
      <sz val="9.000000"/>
      <name val="Arial"/>
    </font>
    <font>
      <b/>
      <sz val="8.000000"/>
      <name val="Arial"/>
    </font>
    <font>
      <sz val="9.00000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0" tint="-0.14999847407452621"/>
      </patternFill>
    </fill>
    <fill>
      <patternFill patternType="solid">
        <fgColor indexed="5"/>
      </patternFill>
    </fill>
    <fill>
      <patternFill patternType="solid">
        <fgColor rgb="FF99FF66"/>
      </patternFill>
    </fill>
    <fill>
      <patternFill patternType="solid">
        <fgColor theme="0"/>
      </patternFill>
    </fill>
    <fill>
      <patternFill patternType="solid">
        <fgColor theme="4" tint="0.59999389629810485"/>
      </patternFill>
    </fill>
  </fills>
  <borders count="17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3">
    <xf fontId="0" fillId="2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</cellStyleXfs>
  <cellXfs count="93">
    <xf fontId="0" fillId="2" borderId="0" numFmtId="0" xfId="0" applyFill="1"/>
    <xf fontId="0" fillId="0" borderId="0" numFmtId="0" xfId="0"/>
    <xf fontId="3" fillId="2" borderId="1" numFmtId="0" xfId="0" applyFont="1" applyFill="1" applyBorder="1"/>
    <xf fontId="0" fillId="3" borderId="1" numFmtId="0" xfId="0" applyFill="1" applyBorder="1" applyAlignment="1" applyProtection="1">
      <alignment horizontal="center" vertical="center"/>
      <protection locked="0"/>
    </xf>
    <xf fontId="3" fillId="2" borderId="1" numFmtId="0" xfId="0" applyFont="1" applyFill="1" applyBorder="1" applyProtection="1"/>
    <xf fontId="0" fillId="2" borderId="1" numFmtId="0" xfId="0" applyFill="1" applyBorder="1" applyAlignment="1" applyProtection="1">
      <alignment horizontal="center" vertical="center"/>
      <protection locked="0"/>
    </xf>
    <xf fontId="3" fillId="3" borderId="1" numFmtId="49" xfId="0" applyNumberFormat="1" applyFont="1" applyFill="1" applyBorder="1" applyAlignment="1" applyProtection="1">
      <alignment horizontal="center" vertical="center"/>
      <protection locked="0"/>
    </xf>
    <xf fontId="0" fillId="2" borderId="2" numFmtId="0" xfId="0" applyFill="1" applyBorder="1" applyProtection="1"/>
    <xf fontId="0" fillId="2" borderId="3" numFmtId="0" xfId="0" applyFill="1" applyBorder="1" applyProtection="1">
      <protection locked="0"/>
    </xf>
    <xf fontId="0" fillId="0" borderId="0" numFmtId="0" xfId="0" applyAlignment="1" applyProtection="1">
      <alignment horizontal="center" vertical="center"/>
      <protection locked="0"/>
    </xf>
    <xf fontId="4" fillId="0" borderId="1" numFmtId="0" xfId="0" applyFont="1" applyBorder="1" applyProtection="1"/>
    <xf fontId="0" fillId="0" borderId="1" numFmtId="0" xfId="0" applyBorder="1" applyAlignment="1" applyProtection="1">
      <alignment horizontal="center" vertical="center"/>
      <protection locked="0"/>
    </xf>
    <xf fontId="4" fillId="4" borderId="1" numFmtId="0" xfId="0" applyFont="1" applyFill="1" applyBorder="1" applyProtection="1"/>
    <xf fontId="0" fillId="0" borderId="0" numFmtId="0" xfId="0" applyAlignment="1">
      <alignment horizontal="center" vertical="center"/>
    </xf>
    <xf fontId="4" fillId="5" borderId="1" numFmtId="0" xfId="0" applyFont="1" applyFill="1" applyBorder="1" applyProtection="1"/>
    <xf fontId="3" fillId="2" borderId="1" numFmtId="49" xfId="0" applyNumberFormat="1" applyFont="1" applyFill="1" applyBorder="1" applyAlignment="1" applyProtection="1">
      <alignment horizontal="center" vertical="center"/>
      <protection locked="0"/>
    </xf>
    <xf fontId="0" fillId="6" borderId="0" numFmtId="0" xfId="0" applyFill="1"/>
    <xf fontId="3" fillId="0" borderId="0" numFmtId="0" xfId="0" applyFont="1"/>
    <xf fontId="5" fillId="6" borderId="0" numFmtId="0" xfId="0" applyFont="1" applyFill="1" applyAlignment="1">
      <alignment horizontal="center" vertical="center" wrapText="1"/>
    </xf>
    <xf fontId="0" fillId="6" borderId="0" numFmtId="0" xfId="0" applyFill="1" applyAlignment="1">
      <alignment horizontal="center" vertical="center" wrapText="1"/>
    </xf>
    <xf fontId="5" fillId="7" borderId="0" numFmtId="0" xfId="0" applyFont="1" applyFill="1" applyAlignment="1">
      <alignment horizontal="center" vertical="center" wrapText="1"/>
    </xf>
    <xf fontId="4" fillId="6" borderId="4" numFmtId="0" xfId="0" applyFont="1" applyFill="1" applyBorder="1" applyAlignment="1">
      <alignment horizontal="center" vertical="top"/>
    </xf>
    <xf fontId="4" fillId="6" borderId="5" numFmtId="0" xfId="0" applyFont="1" applyFill="1" applyBorder="1" applyAlignment="1">
      <alignment horizontal="center" vertical="top"/>
    </xf>
    <xf fontId="4" fillId="6" borderId="6" numFmtId="0" xfId="0" applyFont="1" applyFill="1" applyBorder="1" applyAlignment="1">
      <alignment horizontal="center" vertical="top"/>
    </xf>
    <xf fontId="4" fillId="6" borderId="7" numFmtId="0" xfId="0" applyFont="1" applyFill="1" applyBorder="1" applyAlignment="1">
      <alignment horizontal="center" vertical="top"/>
    </xf>
    <xf fontId="5" fillId="0" borderId="0" numFmtId="0" xfId="0" applyFont="1" applyAlignment="1">
      <alignment horizontal="right"/>
    </xf>
    <xf fontId="0" fillId="0" borderId="8" numFmtId="0" xfId="0" applyBorder="1" applyAlignment="1" applyProtection="1">
      <alignment horizontal="left"/>
      <protection locked="0"/>
    </xf>
    <xf fontId="6" fillId="6" borderId="9" numFmtId="0" xfId="0" applyFont="1" applyFill="1" applyBorder="1" applyAlignment="1">
      <alignment horizontal="center" vertical="center"/>
    </xf>
    <xf fontId="6" fillId="6" borderId="10" numFmtId="0" xfId="0" applyFont="1" applyFill="1" applyBorder="1" applyAlignment="1">
      <alignment horizontal="center" vertical="center"/>
    </xf>
    <xf fontId="7" fillId="6" borderId="9" numFmtId="0" xfId="0" applyFont="1" applyFill="1" applyBorder="1" applyAlignment="1">
      <alignment horizontal="left" vertical="center" wrapText="1"/>
    </xf>
    <xf fontId="8" fillId="6" borderId="11" numFmtId="0" xfId="0" applyFont="1" applyFill="1" applyBorder="1" applyAlignment="1">
      <alignment horizontal="center" vertical="center" wrapText="1"/>
    </xf>
    <xf fontId="7" fillId="6" borderId="11" numFmtId="0" xfId="0" applyFont="1" applyFill="1" applyBorder="1" applyAlignment="1">
      <alignment horizontal="center" vertical="center" wrapText="1"/>
    </xf>
    <xf fontId="8" fillId="6" borderId="9" numFmtId="0" xfId="0" applyFont="1" applyFill="1" applyBorder="1" applyAlignment="1">
      <alignment horizontal="center" vertical="top"/>
    </xf>
    <xf fontId="8" fillId="6" borderId="10" numFmtId="0" xfId="0" applyFont="1" applyFill="1" applyBorder="1" applyAlignment="1">
      <alignment horizontal="center" vertical="top"/>
    </xf>
    <xf fontId="3" fillId="0" borderId="8" numFmtId="49" xfId="0" applyNumberFormat="1" applyFont="1" applyBorder="1" applyAlignment="1" applyProtection="1">
      <alignment horizontal="left"/>
      <protection locked="0"/>
    </xf>
    <xf fontId="4" fillId="0" borderId="4" numFmtId="0" xfId="0" applyFont="1" applyBorder="1" applyAlignment="1">
      <alignment horizontal="center" vertical="top" wrapText="1"/>
    </xf>
    <xf fontId="4" fillId="0" borderId="5" numFmtId="0" xfId="0" applyFont="1" applyBorder="1" applyAlignment="1">
      <alignment horizontal="center" vertical="top" wrapText="1"/>
    </xf>
    <xf fontId="4" fillId="0" borderId="7" numFmtId="0" xfId="0" applyFont="1" applyBorder="1" applyAlignment="1">
      <alignment horizontal="center" vertical="top" wrapText="1"/>
    </xf>
    <xf fontId="4" fillId="0" borderId="6" numFmtId="0" xfId="0" applyFont="1" applyBorder="1" applyAlignment="1">
      <alignment horizontal="center" vertical="top" wrapText="1"/>
    </xf>
    <xf fontId="4" fillId="0" borderId="12" numFmtId="0" xfId="0" applyFont="1" applyBorder="1" applyAlignment="1" applyProtection="1">
      <alignment vertical="center" wrapText="1"/>
      <protection locked="0"/>
    </xf>
    <xf fontId="6" fillId="6" borderId="9" numFmtId="49" xfId="0" applyNumberFormat="1" applyFont="1" applyFill="1" applyBorder="1" applyAlignment="1">
      <alignment horizontal="center" vertical="center" wrapText="1"/>
    </xf>
    <xf fontId="6" fillId="6" borderId="13" numFmtId="49" xfId="0" applyNumberFormat="1" applyFont="1" applyFill="1" applyBorder="1" applyAlignment="1">
      <alignment horizontal="center" vertical="center" wrapText="1"/>
    </xf>
    <xf fontId="6" fillId="6" borderId="10" numFmtId="49" xfId="0" applyNumberFormat="1" applyFont="1" applyFill="1" applyBorder="1" applyAlignment="1">
      <alignment horizontal="center" vertical="center" wrapText="1"/>
    </xf>
    <xf fontId="6" fillId="6" borderId="11" numFmtId="0" xfId="0" applyFont="1" applyFill="1" applyBorder="1" applyAlignment="1">
      <alignment horizontal="center" vertical="center" wrapText="1"/>
    </xf>
    <xf fontId="4" fillId="7" borderId="6" numFmtId="0" xfId="0" applyFont="1" applyFill="1" applyBorder="1" applyAlignment="1">
      <alignment horizontal="center" vertical="center" wrapText="1"/>
    </xf>
    <xf fontId="4" fillId="7" borderId="14" numFmtId="0" xfId="0" applyFont="1" applyFill="1" applyBorder="1" applyAlignment="1">
      <alignment horizontal="center" vertical="center" wrapText="1"/>
    </xf>
    <xf fontId="4" fillId="0" borderId="0" numFmtId="0" xfId="0" applyFont="1"/>
    <xf fontId="8" fillId="0" borderId="8" numFmtId="0" xfId="0" applyFont="1" applyBorder="1" applyAlignment="1" applyProtection="1">
      <alignment horizontal="center" vertical="center" wrapText="1"/>
      <protection locked="0"/>
    </xf>
    <xf fontId="8" fillId="0" borderId="8" numFmtId="49" xfId="0" applyNumberFormat="1" applyFont="1" applyBorder="1" applyAlignment="1" applyProtection="1">
      <alignment horizontal="center" vertical="center" wrapText="1"/>
      <protection locked="0"/>
    </xf>
    <xf fontId="8" fillId="0" borderId="8" numFmtId="0" xfId="0" applyFont="1" applyBorder="1" applyAlignment="1">
      <alignment horizontal="center" vertical="center" wrapText="1"/>
    </xf>
    <xf fontId="9" fillId="7" borderId="14" numFmtId="49" xfId="0" applyNumberFormat="1" applyFont="1" applyFill="1" applyBorder="1" applyAlignment="1">
      <alignment horizontal="center" vertical="center"/>
    </xf>
    <xf fontId="9" fillId="7" borderId="15" numFmtId="49" xfId="0" applyNumberFormat="1" applyFont="1" applyFill="1" applyBorder="1" applyAlignment="1">
      <alignment horizontal="center" vertical="center"/>
    </xf>
    <xf fontId="9" fillId="7" borderId="16" numFmtId="49" xfId="0" applyNumberFormat="1" applyFont="1" applyFill="1" applyBorder="1" applyAlignment="1">
      <alignment horizontal="center" vertical="center"/>
    </xf>
    <xf fontId="4" fillId="0" borderId="4" numFmtId="0" xfId="0" applyFont="1" applyBorder="1" applyAlignment="1">
      <alignment horizontal="left" vertical="top" wrapText="1"/>
    </xf>
    <xf fontId="4" fillId="0" borderId="5" numFmtId="0" xfId="0" applyFont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 wrapText="1"/>
    </xf>
    <xf fontId="4" fillId="0" borderId="5" numFmtId="0" xfId="0" applyFont="1" applyBorder="1" applyAlignment="1">
      <alignment vertical="top" wrapText="1"/>
    </xf>
    <xf fontId="6" fillId="6" borderId="9" numFmtId="0" xfId="0" applyFont="1" applyFill="1" applyBorder="1" applyAlignment="1">
      <alignment horizontal="center"/>
    </xf>
    <xf fontId="6" fillId="6" borderId="13" numFmtId="0" xfId="0" applyFont="1" applyFill="1" applyBorder="1" applyAlignment="1">
      <alignment horizontal="center"/>
    </xf>
    <xf fontId="8" fillId="6" borderId="10" numFmtId="0" xfId="0" applyFont="1" applyFill="1" applyBorder="1"/>
    <xf fontId="8" fillId="6" borderId="13" numFmtId="0" xfId="0" applyFont="1" applyFill="1" applyBorder="1" applyAlignment="1">
      <alignment horizontal="center"/>
    </xf>
    <xf fontId="6" fillId="6" borderId="10" numFmtId="0" xfId="0" applyFont="1" applyFill="1" applyBorder="1" applyAlignment="1">
      <alignment horizontal="center"/>
    </xf>
    <xf fontId="0" fillId="0" borderId="8" numFmtId="0" xfId="0" applyBorder="1" applyAlignment="1">
      <alignment horizontal="left"/>
    </xf>
    <xf fontId="3" fillId="0" borderId="8" numFmtId="49" xfId="0" applyNumberFormat="1" applyFont="1" applyBorder="1" applyAlignment="1">
      <alignment horizontal="left"/>
    </xf>
    <xf fontId="7" fillId="6" borderId="11" numFmtId="49" xfId="0" applyNumberFormat="1" applyFont="1" applyFill="1" applyBorder="1" applyAlignment="1">
      <alignment horizontal="center" vertical="center" wrapText="1"/>
    </xf>
    <xf fontId="6" fillId="6" borderId="11" numFmtId="49" xfId="0" applyNumberFormat="1" applyFont="1" applyFill="1" applyBorder="1" applyAlignment="1">
      <alignment horizontal="center" vertical="center" wrapText="1"/>
    </xf>
    <xf fontId="6" fillId="6" borderId="9" numFmtId="0" xfId="0" applyFont="1" applyFill="1" applyBorder="1" applyAlignment="1">
      <alignment horizontal="center" vertical="center" wrapText="1"/>
    </xf>
    <xf fontId="6" fillId="6" borderId="13" numFmtId="0" xfId="0" applyFont="1" applyFill="1" applyBorder="1" applyAlignment="1">
      <alignment horizontal="center" vertical="center" wrapText="1"/>
    </xf>
    <xf fontId="6" fillId="6" borderId="10" numFmtId="0" xfId="0" applyFont="1" applyFill="1" applyBorder="1" applyAlignment="1">
      <alignment horizontal="center" vertical="center" wrapText="1"/>
    </xf>
    <xf fontId="8" fillId="0" borderId="8" numFmtId="0" xfId="0" applyFont="1" applyBorder="1" applyAlignment="1" applyProtection="1" quotePrefix="1">
      <alignment horizontal="center" vertical="center" wrapText="1"/>
      <protection locked="0"/>
    </xf>
    <xf fontId="7" fillId="6" borderId="9" numFmtId="0" xfId="0" applyFont="1" applyFill="1" applyBorder="1" applyAlignment="1" applyProtection="1">
      <alignment horizontal="left" vertical="center" wrapText="1"/>
      <protection locked="0"/>
    </xf>
    <xf fontId="7" fillId="6" borderId="11" numFmtId="49" xfId="0" applyNumberFormat="1" applyFont="1" applyFill="1" applyBorder="1" applyAlignment="1" applyProtection="1">
      <alignment horizontal="center" vertical="center" wrapText="1"/>
      <protection locked="0"/>
    </xf>
    <xf fontId="8" fillId="6" borderId="9" numFmtId="0" xfId="0" applyFont="1" applyFill="1" applyBorder="1" applyAlignment="1" applyProtection="1">
      <alignment horizontal="center" vertical="top"/>
      <protection locked="0"/>
    </xf>
    <xf fontId="8" fillId="6" borderId="10" numFmtId="0" xfId="0" applyFont="1" applyFill="1" applyBorder="1" applyAlignment="1" applyProtection="1">
      <alignment horizontal="center" vertical="top"/>
      <protection locked="0"/>
    </xf>
    <xf fontId="6" fillId="6" borderId="9" numFmtId="49" xfId="0" applyNumberFormat="1" applyFont="1" applyFill="1" applyBorder="1" applyAlignment="1" applyProtection="1">
      <alignment horizontal="center" vertical="center" wrapText="1"/>
      <protection locked="0"/>
    </xf>
    <xf fontId="6" fillId="6" borderId="13" numFmtId="49" xfId="0" applyNumberFormat="1" applyFont="1" applyFill="1" applyBorder="1" applyAlignment="1" applyProtection="1">
      <alignment horizontal="center" vertical="center" wrapText="1"/>
      <protection locked="0"/>
    </xf>
    <xf fontId="6" fillId="6" borderId="10" numFmtId="49" xfId="0" applyNumberFormat="1" applyFont="1" applyFill="1" applyBorder="1" applyAlignment="1" applyProtection="1">
      <alignment horizontal="center" vertical="center" wrapText="1"/>
      <protection locked="0"/>
    </xf>
    <xf fontId="6" fillId="6" borderId="11" numFmtId="0" xfId="0" applyFont="1" applyFill="1" applyBorder="1" applyAlignment="1" applyProtection="1">
      <alignment horizontal="center" vertical="center" wrapText="1"/>
      <protection locked="0"/>
    </xf>
    <xf fontId="6" fillId="6" borderId="11" numFmtId="49" xfId="0" applyNumberFormat="1" applyFont="1" applyFill="1" applyBorder="1" applyAlignment="1" applyProtection="1">
      <alignment horizontal="center" vertical="center" wrapText="1"/>
      <protection locked="0"/>
    </xf>
    <xf fontId="9" fillId="7" borderId="14" numFmtId="49" xfId="0" applyNumberFormat="1" applyFont="1" applyFill="1" applyBorder="1" applyAlignment="1" applyProtection="1">
      <alignment horizontal="center" vertical="center"/>
      <protection locked="0"/>
    </xf>
    <xf fontId="9" fillId="7" borderId="15" numFmtId="49" xfId="0" applyNumberFormat="1" applyFont="1" applyFill="1" applyBorder="1" applyAlignment="1" applyProtection="1">
      <alignment horizontal="center" vertical="center"/>
      <protection locked="0"/>
    </xf>
    <xf fontId="9" fillId="7" borderId="16" numFmtId="49" xfId="0" applyNumberFormat="1" applyFont="1" applyFill="1" applyBorder="1" applyAlignment="1" applyProtection="1">
      <alignment horizontal="center" vertical="center"/>
      <protection locked="0"/>
    </xf>
    <xf fontId="4" fillId="0" borderId="4" numFmtId="0" xfId="0" applyFont="1" applyBorder="1" applyAlignment="1" applyProtection="1">
      <alignment horizontal="left" vertical="top" wrapText="1"/>
      <protection locked="0"/>
    </xf>
    <xf fontId="4" fillId="0" borderId="5" numFmtId="0" xfId="0" applyFont="1" applyBorder="1" applyAlignment="1" applyProtection="1">
      <alignment horizontal="left" vertical="top" wrapText="1"/>
      <protection locked="0"/>
    </xf>
    <xf fontId="4" fillId="0" borderId="7" numFmtId="0" xfId="0" applyFont="1" applyBorder="1" applyAlignment="1" applyProtection="1">
      <alignment horizontal="left" vertical="top" wrapText="1"/>
      <protection locked="0"/>
    </xf>
    <xf fontId="4" fillId="0" borderId="5" numFmtId="0" xfId="0" applyFont="1" applyBorder="1" applyAlignment="1" applyProtection="1">
      <alignment vertical="top" wrapText="1"/>
      <protection locked="0"/>
    </xf>
    <xf fontId="2" fillId="0" borderId="0" numFmtId="0" xfId="2" applyFont="1"/>
    <xf fontId="2" fillId="0" borderId="0" numFmtId="49" xfId="2" applyNumberFormat="1" applyFont="1" applyAlignment="1">
      <alignment horizontal="left" vertical="center"/>
    </xf>
    <xf fontId="2" fillId="0" borderId="0" numFmtId="49" xfId="2" applyNumberFormat="1" applyFont="1" applyAlignment="1" quotePrefix="1">
      <alignment horizontal="left" vertical="center"/>
    </xf>
    <xf fontId="10" fillId="6" borderId="0" numFmtId="49" xfId="0" applyNumberFormat="1" applyFont="1" applyFill="1" applyAlignment="1" quotePrefix="1">
      <alignment horizontal="left" vertical="center" wrapText="1"/>
    </xf>
    <xf fontId="10" fillId="6" borderId="0" numFmtId="49" xfId="0" applyNumberFormat="1" applyFont="1" applyFill="1" applyAlignment="1">
      <alignment horizontal="center" vertical="center" wrapText="1"/>
    </xf>
    <xf fontId="2" fillId="0" borderId="0" numFmtId="49" xfId="2" applyNumberFormat="1" applyFont="1" applyAlignment="1" quotePrefix="1">
      <alignment horizontal="left" vertical="center" wrapText="1"/>
    </xf>
    <xf fontId="2" fillId="0" borderId="0" numFmtId="0" xfId="2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1">
    <dxf>
      <fill>
        <patternFill patternType="solid">
          <fgColor indexed="65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49530</xdr:colOff>
      <xdr:row>0</xdr:row>
      <xdr:rowOff>19708</xdr:rowOff>
    </xdr:from>
    <xdr:to>
      <xdr:col>1</xdr:col>
      <xdr:colOff>553895</xdr:colOff>
      <xdr:row>3</xdr:row>
      <xdr:rowOff>78150</xdr:rowOff>
    </xdr:to>
    <xdr:pic>
      <xdr:nvPicPr>
        <xdr:cNvPr id="13358" name="Picture 1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49530" y="19708"/>
          <a:ext cx="1055961" cy="6299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49530</xdr:colOff>
      <xdr:row>0</xdr:row>
      <xdr:rowOff>19708</xdr:rowOff>
    </xdr:from>
    <xdr:to>
      <xdr:col>1</xdr:col>
      <xdr:colOff>553895</xdr:colOff>
      <xdr:row>3</xdr:row>
      <xdr:rowOff>78150</xdr:rowOff>
    </xdr:to>
    <xdr:pic>
      <xdr:nvPicPr>
        <xdr:cNvPr id="2" name="Picture 1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53340" y="15898"/>
          <a:ext cx="1051100" cy="6337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49530</xdr:colOff>
      <xdr:row>0</xdr:row>
      <xdr:rowOff>19708</xdr:rowOff>
    </xdr:from>
    <xdr:to>
      <xdr:col>1</xdr:col>
      <xdr:colOff>553895</xdr:colOff>
      <xdr:row>3</xdr:row>
      <xdr:rowOff>78150</xdr:rowOff>
    </xdr:to>
    <xdr:pic>
      <xdr:nvPicPr>
        <xdr:cNvPr id="2" name="Picture 1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53340" y="15898"/>
          <a:ext cx="1054910" cy="6337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49530</xdr:colOff>
      <xdr:row>0</xdr:row>
      <xdr:rowOff>19708</xdr:rowOff>
    </xdr:from>
    <xdr:to>
      <xdr:col>1</xdr:col>
      <xdr:colOff>553895</xdr:colOff>
      <xdr:row>3</xdr:row>
      <xdr:rowOff>78150</xdr:rowOff>
    </xdr:to>
    <xdr:pic>
      <xdr:nvPicPr>
        <xdr:cNvPr id="2" name="Picture 1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53340" y="15898"/>
          <a:ext cx="1062530" cy="6337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49530</xdr:colOff>
      <xdr:row>0</xdr:row>
      <xdr:rowOff>19708</xdr:rowOff>
    </xdr:from>
    <xdr:to>
      <xdr:col>1</xdr:col>
      <xdr:colOff>553895</xdr:colOff>
      <xdr:row>3</xdr:row>
      <xdr:rowOff>78150</xdr:rowOff>
    </xdr:to>
    <xdr:pic>
      <xdr:nvPicPr>
        <xdr:cNvPr id="2" name="Picture 1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53340" y="15898"/>
          <a:ext cx="1062530" cy="6337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0</xdr:col>
      <xdr:colOff>0</xdr:colOff>
      <xdr:row>0</xdr:row>
      <xdr:rowOff>16510</xdr:rowOff>
    </xdr:from>
    <xdr:to>
      <xdr:col>6</xdr:col>
      <xdr:colOff>1062355</xdr:colOff>
      <xdr:row>5</xdr:row>
      <xdr:rowOff>16510</xdr:rowOff>
    </xdr:to>
    <xdr:sp>
      <xdr:nvSpPr>
        <xdr:cNvPr id="3" name="Rectangle 2"/>
        <xdr:cNvSpPr/>
      </xdr:nvSpPr>
      <xdr:spPr bwMode="auto">
        <a:xfrm>
          <a:off x="0" y="16510"/>
          <a:ext cx="7196455" cy="825500"/>
        </a:xfrm>
        <a:prstGeom prst="rect">
          <a:avLst/>
        </a:prstGeom>
        <a:solidFill>
          <a:srgbClr val="FF0000">
            <a:alpha val="39000"/>
          </a:srgb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>
            <a:defRPr/>
          </a:pPr>
          <a:endParaRPr lang="en-US" sz="1100"/>
        </a:p>
      </xdr:txBody>
    </xdr:sp>
    <xdr:clientData/>
  </xdr:twoCellAnchor>
  <xdr:twoCellAnchor editAs="twoCell">
    <xdr:from>
      <xdr:col>0</xdr:col>
      <xdr:colOff>8255</xdr:colOff>
      <xdr:row>6</xdr:row>
      <xdr:rowOff>8255</xdr:rowOff>
    </xdr:from>
    <xdr:to>
      <xdr:col>7</xdr:col>
      <xdr:colOff>0</xdr:colOff>
      <xdr:row>7</xdr:row>
      <xdr:rowOff>6350</xdr:rowOff>
    </xdr:to>
    <xdr:sp>
      <xdr:nvSpPr>
        <xdr:cNvPr id="14" name="Rectangle 13"/>
        <xdr:cNvSpPr/>
      </xdr:nvSpPr>
      <xdr:spPr bwMode="auto">
        <a:xfrm>
          <a:off x="8255" y="1081405"/>
          <a:ext cx="7192645" cy="150495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0</xdr:col>
      <xdr:colOff>19051</xdr:colOff>
      <xdr:row>5</xdr:row>
      <xdr:rowOff>10161</xdr:rowOff>
    </xdr:from>
    <xdr:to>
      <xdr:col>2</xdr:col>
      <xdr:colOff>8256</xdr:colOff>
      <xdr:row>6</xdr:row>
      <xdr:rowOff>19051</xdr:rowOff>
    </xdr:to>
    <xdr:sp>
      <xdr:nvSpPr>
        <xdr:cNvPr id="15" name="Rectangle 14"/>
        <xdr:cNvSpPr/>
      </xdr:nvSpPr>
      <xdr:spPr bwMode="auto">
        <a:xfrm>
          <a:off x="19051" y="835661"/>
          <a:ext cx="1290955" cy="256540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4</xdr:col>
      <xdr:colOff>2882900</xdr:colOff>
      <xdr:row>5</xdr:row>
      <xdr:rowOff>17145</xdr:rowOff>
    </xdr:from>
    <xdr:to>
      <xdr:col>7</xdr:col>
      <xdr:colOff>0</xdr:colOff>
      <xdr:row>6</xdr:row>
      <xdr:rowOff>0</xdr:rowOff>
    </xdr:to>
    <xdr:sp>
      <xdr:nvSpPr>
        <xdr:cNvPr id="16" name="Rectangle 15"/>
        <xdr:cNvSpPr/>
      </xdr:nvSpPr>
      <xdr:spPr bwMode="auto">
        <a:xfrm>
          <a:off x="5524500" y="842644"/>
          <a:ext cx="1676400" cy="230505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3</xdr:col>
      <xdr:colOff>1</xdr:colOff>
      <xdr:row>5</xdr:row>
      <xdr:rowOff>38100</xdr:rowOff>
    </xdr:from>
    <xdr:to>
      <xdr:col>3</xdr:col>
      <xdr:colOff>586741</xdr:colOff>
      <xdr:row>6</xdr:row>
      <xdr:rowOff>0</xdr:rowOff>
    </xdr:to>
    <xdr:sp>
      <xdr:nvSpPr>
        <xdr:cNvPr id="17" name="Rectangle 16"/>
        <xdr:cNvSpPr/>
      </xdr:nvSpPr>
      <xdr:spPr bwMode="auto">
        <a:xfrm>
          <a:off x="2038351" y="863599"/>
          <a:ext cx="586740" cy="209550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0</xdr:col>
      <xdr:colOff>0</xdr:colOff>
      <xdr:row>8</xdr:row>
      <xdr:rowOff>0</xdr:rowOff>
    </xdr:from>
    <xdr:to>
      <xdr:col>6</xdr:col>
      <xdr:colOff>1058545</xdr:colOff>
      <xdr:row>8</xdr:row>
      <xdr:rowOff>393699</xdr:rowOff>
    </xdr:to>
    <xdr:sp>
      <xdr:nvSpPr>
        <xdr:cNvPr id="18" name="Rectangle 17"/>
        <xdr:cNvSpPr/>
      </xdr:nvSpPr>
      <xdr:spPr bwMode="auto">
        <a:xfrm>
          <a:off x="0" y="1473200"/>
          <a:ext cx="7192645" cy="393700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4</xdr:col>
      <xdr:colOff>17780</xdr:colOff>
      <xdr:row>9</xdr:row>
      <xdr:rowOff>1270</xdr:rowOff>
    </xdr:from>
    <xdr:to>
      <xdr:col>7</xdr:col>
      <xdr:colOff>12699</xdr:colOff>
      <xdr:row>32</xdr:row>
      <xdr:rowOff>245110</xdr:rowOff>
    </xdr:to>
    <xdr:sp>
      <xdr:nvSpPr>
        <xdr:cNvPr id="19" name="Rectangle 18"/>
        <xdr:cNvSpPr/>
      </xdr:nvSpPr>
      <xdr:spPr bwMode="auto">
        <a:xfrm>
          <a:off x="2659380" y="1874520"/>
          <a:ext cx="4554219" cy="5939790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0</xdr:col>
      <xdr:colOff>0</xdr:colOff>
      <xdr:row>33</xdr:row>
      <xdr:rowOff>12065</xdr:rowOff>
    </xdr:from>
    <xdr:to>
      <xdr:col>7</xdr:col>
      <xdr:colOff>8256</xdr:colOff>
      <xdr:row>36</xdr:row>
      <xdr:rowOff>10160</xdr:rowOff>
    </xdr:to>
    <xdr:sp>
      <xdr:nvSpPr>
        <xdr:cNvPr id="20" name="Rectangle 19"/>
        <xdr:cNvSpPr/>
      </xdr:nvSpPr>
      <xdr:spPr bwMode="auto">
        <a:xfrm>
          <a:off x="0" y="7828915"/>
          <a:ext cx="7209156" cy="753745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7</xdr:col>
      <xdr:colOff>861059</xdr:colOff>
      <xdr:row>8</xdr:row>
      <xdr:rowOff>95884</xdr:rowOff>
    </xdr:from>
    <xdr:to>
      <xdr:col>9</xdr:col>
      <xdr:colOff>173990</xdr:colOff>
      <xdr:row>9</xdr:row>
      <xdr:rowOff>55834</xdr:rowOff>
    </xdr:to>
    <xdr:sp>
      <xdr:nvSpPr>
        <xdr:cNvPr id="22" name="Rectangle 21"/>
        <xdr:cNvSpPr/>
      </xdr:nvSpPr>
      <xdr:spPr bwMode="auto">
        <a:xfrm>
          <a:off x="8061959" y="1569084"/>
          <a:ext cx="919481" cy="360000"/>
        </a:xfrm>
        <a:prstGeom prst="rect">
          <a:avLst/>
        </a:prstGeom>
        <a:solidFill>
          <a:srgbClr val="FF0000">
            <a:alpha val="39000"/>
          </a:srgb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>
            <a:defRPr/>
          </a:pPr>
          <a:r>
            <a:rPr lang="en-US" sz="1100"/>
            <a:t>NOT</a:t>
          </a:r>
          <a:r>
            <a:rPr lang="en-US" sz="1100"/>
            <a:t> EDITABLE</a:t>
          </a:r>
          <a:endParaRPr lang="en-US" sz="1100"/>
        </a:p>
      </xdr:txBody>
    </xdr:sp>
    <xdr:clientData/>
  </xdr:twoCellAnchor>
  <xdr:twoCellAnchor editAs="twoCell">
    <xdr:from>
      <xdr:col>8</xdr:col>
      <xdr:colOff>10160</xdr:colOff>
      <xdr:row>9</xdr:row>
      <xdr:rowOff>198732</xdr:rowOff>
    </xdr:from>
    <xdr:to>
      <xdr:col>9</xdr:col>
      <xdr:colOff>177166</xdr:colOff>
      <xdr:row>11</xdr:row>
      <xdr:rowOff>81892</xdr:rowOff>
    </xdr:to>
    <xdr:sp>
      <xdr:nvSpPr>
        <xdr:cNvPr id="23" name="Rectangle 22"/>
        <xdr:cNvSpPr/>
      </xdr:nvSpPr>
      <xdr:spPr bwMode="auto">
        <a:xfrm>
          <a:off x="8081010" y="2071982"/>
          <a:ext cx="903606" cy="378460"/>
        </a:xfrm>
        <a:prstGeom prst="rect">
          <a:avLst/>
        </a:prstGeom>
        <a:solidFill>
          <a:srgbClr val="FFC000">
            <a:alpha val="39000"/>
          </a:srgbClr>
        </a:solidFill>
        <a:ln w="25400" cap="flat" cmpd="sng" algn="ctr">
          <a:solidFill>
            <a:srgbClr val="F3CA35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libri"/>
              <a:ea typeface="+mn-ea"/>
              <a:cs typeface="+mn-cs"/>
            </a:rPr>
            <a:t>EDITABLE ON PIPING ONLY</a:t>
          </a:r>
          <a:endParaRPr/>
        </a:p>
      </xdr:txBody>
    </xdr:sp>
    <xdr:clientData/>
  </xdr:twoCellAnchor>
  <xdr:twoCellAnchor editAs="twoCell">
    <xdr:from>
      <xdr:col>8</xdr:col>
      <xdr:colOff>0</xdr:colOff>
      <xdr:row>11</xdr:row>
      <xdr:rowOff>222885</xdr:rowOff>
    </xdr:from>
    <xdr:to>
      <xdr:col>9</xdr:col>
      <xdr:colOff>169546</xdr:colOff>
      <xdr:row>13</xdr:row>
      <xdr:rowOff>90170</xdr:rowOff>
    </xdr:to>
    <xdr:sp>
      <xdr:nvSpPr>
        <xdr:cNvPr id="24" name="Rectangle 23"/>
        <xdr:cNvSpPr/>
      </xdr:nvSpPr>
      <xdr:spPr bwMode="auto">
        <a:xfrm>
          <a:off x="8070850" y="2591435"/>
          <a:ext cx="906146" cy="362585"/>
        </a:xfrm>
        <a:prstGeom prst="rect">
          <a:avLst/>
        </a:prstGeom>
        <a:solidFill>
          <a:srgbClr val="00B050">
            <a:alpha val="39000"/>
          </a:srgbClr>
        </a:solidFill>
        <a:ln w="25400" cap="flat" cmpd="sng" algn="ctr">
          <a:solidFill>
            <a:srgbClr val="00B050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libri"/>
              <a:ea typeface="+mn-ea"/>
              <a:cs typeface="+mn-cs"/>
            </a:rPr>
            <a:t>EDITABLE ON EVERY PAGE</a:t>
          </a:r>
          <a:endParaRPr/>
        </a:p>
      </xdr:txBody>
    </xdr:sp>
    <xdr:clientData/>
  </xdr:twoCellAnchor>
  <xdr:twoCellAnchor editAs="twoCell">
    <xdr:from>
      <xdr:col>0</xdr:col>
      <xdr:colOff>15874</xdr:colOff>
      <xdr:row>9</xdr:row>
      <xdr:rowOff>15240</xdr:rowOff>
    </xdr:from>
    <xdr:to>
      <xdr:col>3</xdr:col>
      <xdr:colOff>594359</xdr:colOff>
      <xdr:row>32</xdr:row>
      <xdr:rowOff>234949</xdr:rowOff>
    </xdr:to>
    <xdr:sp>
      <xdr:nvSpPr>
        <xdr:cNvPr id="25" name="Rectangle 24"/>
        <xdr:cNvSpPr/>
      </xdr:nvSpPr>
      <xdr:spPr bwMode="auto">
        <a:xfrm>
          <a:off x="15874" y="1888490"/>
          <a:ext cx="2616835" cy="5915659"/>
        </a:xfrm>
        <a:prstGeom prst="rect">
          <a:avLst/>
        </a:prstGeom>
        <a:solidFill>
          <a:srgbClr val="00B050">
            <a:alpha val="39000"/>
          </a:srgbClr>
        </a:solidFill>
        <a:ln w="25400" cap="flat" cmpd="sng" algn="ctr">
          <a:solidFill>
            <a:srgbClr val="00B050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7</xdr:col>
      <xdr:colOff>853441</xdr:colOff>
      <xdr:row>4</xdr:row>
      <xdr:rowOff>0</xdr:rowOff>
    </xdr:from>
    <xdr:to>
      <xdr:col>9</xdr:col>
      <xdr:colOff>12700</xdr:colOff>
      <xdr:row>5</xdr:row>
      <xdr:rowOff>238125</xdr:rowOff>
    </xdr:to>
    <xdr:sp>
      <xdr:nvSpPr>
        <xdr:cNvPr id="26" name="Rectangle 25"/>
        <xdr:cNvSpPr/>
      </xdr:nvSpPr>
      <xdr:spPr bwMode="auto">
        <a:xfrm>
          <a:off x="8054341" y="679450"/>
          <a:ext cx="765810" cy="384175"/>
        </a:xfrm>
        <a:prstGeom prst="rect">
          <a:avLst/>
        </a:prstGeom>
        <a:solidFill>
          <a:srgbClr val="FFC000">
            <a:alpha val="39000"/>
          </a:srgbClr>
        </a:solidFill>
        <a:ln w="25400" cap="flat" cmpd="sng" algn="ctr">
          <a:solidFill>
            <a:srgbClr val="F3CA35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0</xdr:col>
      <xdr:colOff>0</xdr:colOff>
      <xdr:row>7</xdr:row>
      <xdr:rowOff>36830</xdr:rowOff>
    </xdr:from>
    <xdr:to>
      <xdr:col>6</xdr:col>
      <xdr:colOff>1049655</xdr:colOff>
      <xdr:row>7</xdr:row>
      <xdr:rowOff>226695</xdr:rowOff>
    </xdr:to>
    <xdr:sp>
      <xdr:nvSpPr>
        <xdr:cNvPr id="27" name="Rectangle 26"/>
        <xdr:cNvSpPr/>
      </xdr:nvSpPr>
      <xdr:spPr bwMode="auto">
        <a:xfrm>
          <a:off x="0" y="1262380"/>
          <a:ext cx="7183755" cy="189865"/>
        </a:xfrm>
        <a:prstGeom prst="rect">
          <a:avLst/>
        </a:prstGeom>
        <a:solidFill>
          <a:srgbClr val="FFC000">
            <a:alpha val="39000"/>
          </a:srgbClr>
        </a:solidFill>
        <a:ln w="25400" cap="flat" cmpd="sng" algn="ctr">
          <a:solidFill>
            <a:srgbClr val="F3CA35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4</xdr:col>
      <xdr:colOff>20320</xdr:colOff>
      <xdr:row>5</xdr:row>
      <xdr:rowOff>38100</xdr:rowOff>
    </xdr:from>
    <xdr:to>
      <xdr:col>4</xdr:col>
      <xdr:colOff>2851150</xdr:colOff>
      <xdr:row>5</xdr:row>
      <xdr:rowOff>245111</xdr:rowOff>
    </xdr:to>
    <xdr:sp>
      <xdr:nvSpPr>
        <xdr:cNvPr id="28" name="Rectangle 27"/>
        <xdr:cNvSpPr/>
      </xdr:nvSpPr>
      <xdr:spPr bwMode="auto">
        <a:xfrm>
          <a:off x="2661920" y="863601"/>
          <a:ext cx="2830830" cy="207010"/>
        </a:xfrm>
        <a:prstGeom prst="rect">
          <a:avLst/>
        </a:prstGeom>
        <a:solidFill>
          <a:srgbClr val="FFC000">
            <a:alpha val="39000"/>
          </a:srgbClr>
        </a:solidFill>
        <a:ln w="25400" cap="flat" cmpd="sng" algn="ctr">
          <a:solidFill>
            <a:srgbClr val="F3CA35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2</xdr:col>
      <xdr:colOff>21591</xdr:colOff>
      <xdr:row>5</xdr:row>
      <xdr:rowOff>38100</xdr:rowOff>
    </xdr:from>
    <xdr:to>
      <xdr:col>2</xdr:col>
      <xdr:colOff>717551</xdr:colOff>
      <xdr:row>5</xdr:row>
      <xdr:rowOff>234950</xdr:rowOff>
    </xdr:to>
    <xdr:sp>
      <xdr:nvSpPr>
        <xdr:cNvPr id="29" name="Rectangle 28"/>
        <xdr:cNvSpPr/>
      </xdr:nvSpPr>
      <xdr:spPr bwMode="auto">
        <a:xfrm>
          <a:off x="1323341" y="863599"/>
          <a:ext cx="695960" cy="196850"/>
        </a:xfrm>
        <a:prstGeom prst="rect">
          <a:avLst/>
        </a:prstGeom>
        <a:solidFill>
          <a:srgbClr val="FFC000">
            <a:alpha val="39000"/>
          </a:srgbClr>
        </a:solidFill>
        <a:ln w="25400" cap="flat" cmpd="sng" algn="ctr">
          <a:solidFill>
            <a:srgbClr val="F3CA35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8</xdr:col>
      <xdr:colOff>17780</xdr:colOff>
      <xdr:row>0</xdr:row>
      <xdr:rowOff>17780</xdr:rowOff>
    </xdr:from>
    <xdr:to>
      <xdr:col>11</xdr:col>
      <xdr:colOff>158750</xdr:colOff>
      <xdr:row>1</xdr:row>
      <xdr:rowOff>16511</xdr:rowOff>
    </xdr:to>
    <xdr:sp>
      <xdr:nvSpPr>
        <xdr:cNvPr id="30" name="Rectangle 29"/>
        <xdr:cNvSpPr/>
      </xdr:nvSpPr>
      <xdr:spPr bwMode="auto">
        <a:xfrm>
          <a:off x="8088630" y="17781"/>
          <a:ext cx="2350770" cy="189230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1</xdr:col>
      <xdr:colOff>664844</xdr:colOff>
      <xdr:row>0</xdr:row>
      <xdr:rowOff>107950</xdr:rowOff>
    </xdr:from>
    <xdr:to>
      <xdr:col>3</xdr:col>
      <xdr:colOff>332740</xdr:colOff>
      <xdr:row>4</xdr:row>
      <xdr:rowOff>35433</xdr:rowOff>
    </xdr:to>
    <xdr:sp>
      <xdr:nvSpPr>
        <xdr:cNvPr id="31" name="Speech Bubble: Rectangle with Corners Rounded 30"/>
        <xdr:cNvSpPr/>
      </xdr:nvSpPr>
      <xdr:spPr bwMode="auto">
        <a:xfrm>
          <a:off x="1229994" y="107949"/>
          <a:ext cx="1141096" cy="606933"/>
        </a:xfrm>
        <a:prstGeom prst="wedgeRoundRectCallout">
          <a:avLst>
            <a:gd name="adj1" fmla="val -19161"/>
            <a:gd name="adj2" fmla="val 75055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1.2 Ensure</a:t>
          </a:r>
          <a:r>
            <a:rPr lang="en-US" sz="1100"/>
            <a:t> Correct Project Number</a:t>
          </a:r>
          <a:endParaRPr lang="en-US" sz="1100"/>
        </a:p>
      </xdr:txBody>
    </xdr:sp>
    <xdr:clientData/>
  </xdr:twoCellAnchor>
  <xdr:twoCellAnchor editAs="twoCell">
    <xdr:from>
      <xdr:col>9</xdr:col>
      <xdr:colOff>86359</xdr:colOff>
      <xdr:row>2</xdr:row>
      <xdr:rowOff>170180</xdr:rowOff>
    </xdr:from>
    <xdr:to>
      <xdr:col>10</xdr:col>
      <xdr:colOff>479425</xdr:colOff>
      <xdr:row>7</xdr:row>
      <xdr:rowOff>165100</xdr:rowOff>
    </xdr:to>
    <xdr:sp>
      <xdr:nvSpPr>
        <xdr:cNvPr id="32" name="Speech Bubble: Rectangle with Corners Rounded 31"/>
        <xdr:cNvSpPr/>
      </xdr:nvSpPr>
      <xdr:spPr bwMode="auto">
        <a:xfrm>
          <a:off x="8893810" y="551180"/>
          <a:ext cx="1129666" cy="839470"/>
        </a:xfrm>
        <a:prstGeom prst="wedgeRoundRectCallout">
          <a:avLst>
            <a:gd name="adj1" fmla="val -76202"/>
            <a:gd name="adj2" fmla="val 8435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2. Check Temperature and Insulation are correct</a:t>
          </a:r>
          <a:endParaRPr/>
        </a:p>
      </xdr:txBody>
    </xdr:sp>
    <xdr:clientData/>
  </xdr:twoCellAnchor>
  <xdr:twoCellAnchor editAs="twoCell">
    <xdr:from>
      <xdr:col>4</xdr:col>
      <xdr:colOff>2020571</xdr:colOff>
      <xdr:row>10</xdr:row>
      <xdr:rowOff>107313</xdr:rowOff>
    </xdr:from>
    <xdr:to>
      <xdr:col>5</xdr:col>
      <xdr:colOff>178436</xdr:colOff>
      <xdr:row>12</xdr:row>
      <xdr:rowOff>217043</xdr:rowOff>
    </xdr:to>
    <xdr:sp>
      <xdr:nvSpPr>
        <xdr:cNvPr id="33" name="Speech Bubble: Rectangle with Corners Rounded 32"/>
        <xdr:cNvSpPr/>
      </xdr:nvSpPr>
      <xdr:spPr bwMode="auto">
        <a:xfrm>
          <a:off x="4662171" y="2228215"/>
          <a:ext cx="1047115" cy="605028"/>
        </a:xfrm>
        <a:prstGeom prst="wedgeRoundRectCallout">
          <a:avLst>
            <a:gd name="adj1" fmla="val -39829"/>
            <a:gd name="adj2" fmla="val -196523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3.</a:t>
          </a:r>
          <a:r>
            <a:rPr lang="en-US" sz="1100"/>
            <a:t> Enter Correct Line Number</a:t>
          </a:r>
          <a:endParaRPr lang="en-US" sz="1100"/>
        </a:p>
      </xdr:txBody>
    </xdr:sp>
    <xdr:clientData/>
  </xdr:twoCellAnchor>
  <xdr:twoCellAnchor editAs="twoCell">
    <xdr:from>
      <xdr:col>5</xdr:col>
      <xdr:colOff>323849</xdr:colOff>
      <xdr:row>10</xdr:row>
      <xdr:rowOff>120650</xdr:rowOff>
    </xdr:from>
    <xdr:to>
      <xdr:col>6</xdr:col>
      <xdr:colOff>760095</xdr:colOff>
      <xdr:row>12</xdr:row>
      <xdr:rowOff>226568</xdr:rowOff>
    </xdr:to>
    <xdr:sp>
      <xdr:nvSpPr>
        <xdr:cNvPr id="34" name="Speech Bubble: Rectangle with Corners Rounded 33"/>
        <xdr:cNvSpPr/>
      </xdr:nvSpPr>
      <xdr:spPr bwMode="auto">
        <a:xfrm>
          <a:off x="5854700" y="2241550"/>
          <a:ext cx="1039495" cy="601218"/>
        </a:xfrm>
        <a:prstGeom prst="wedgeRoundRectCallout">
          <a:avLst>
            <a:gd name="adj1" fmla="val -39829"/>
            <a:gd name="adj2" fmla="val -196523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4.</a:t>
          </a:r>
          <a:r>
            <a:rPr lang="en-US" sz="1100"/>
            <a:t> Enter Correct Sheet Number</a:t>
          </a:r>
          <a:endParaRPr lang="en-US" sz="1100"/>
        </a:p>
      </xdr:txBody>
    </xdr:sp>
    <xdr:clientData/>
  </xdr:twoCellAnchor>
  <xdr:twoCellAnchor editAs="twoCell">
    <xdr:from>
      <xdr:col>6</xdr:col>
      <xdr:colOff>724533</xdr:colOff>
      <xdr:row>13</xdr:row>
      <xdr:rowOff>84455</xdr:rowOff>
    </xdr:from>
    <xdr:to>
      <xdr:col>7</xdr:col>
      <xdr:colOff>788035</xdr:colOff>
      <xdr:row>15</xdr:row>
      <xdr:rowOff>194183</xdr:rowOff>
    </xdr:to>
    <xdr:sp>
      <xdr:nvSpPr>
        <xdr:cNvPr id="35" name="Speech Bubble: Rectangle with Corners Rounded 34"/>
        <xdr:cNvSpPr/>
      </xdr:nvSpPr>
      <xdr:spPr bwMode="auto">
        <a:xfrm>
          <a:off x="6858635" y="2948305"/>
          <a:ext cx="1130300" cy="605028"/>
        </a:xfrm>
        <a:prstGeom prst="wedgeRoundRectCallout">
          <a:avLst>
            <a:gd name="adj1" fmla="val -60509"/>
            <a:gd name="adj2" fmla="val -311505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i="0" u="none" strike="noStrike" cap="none" spc="0">
              <a:ln>
                <a:noFill/>
              </a:ln>
              <a:solidFill>
                <a:sysClr val="windowText" lastClr="000000"/>
              </a:solidFill>
            </a:rPr>
            <a:t>5. Enter Correct Revision Number</a:t>
          </a:r>
          <a:endParaRPr/>
        </a:p>
      </xdr:txBody>
    </xdr:sp>
    <xdr:clientData/>
  </xdr:twoCellAnchor>
  <xdr:twoCellAnchor editAs="twoCell">
    <xdr:from>
      <xdr:col>0</xdr:col>
      <xdr:colOff>53975</xdr:colOff>
      <xdr:row>0</xdr:row>
      <xdr:rowOff>59055</xdr:rowOff>
    </xdr:from>
    <xdr:to>
      <xdr:col>1</xdr:col>
      <xdr:colOff>631826</xdr:colOff>
      <xdr:row>3</xdr:row>
      <xdr:rowOff>83058</xdr:rowOff>
    </xdr:to>
    <xdr:sp>
      <xdr:nvSpPr>
        <xdr:cNvPr id="36" name="Speech Bubble: Rectangle with Corners Rounded 35"/>
        <xdr:cNvSpPr/>
      </xdr:nvSpPr>
      <xdr:spPr bwMode="auto">
        <a:xfrm>
          <a:off x="53974" y="59055"/>
          <a:ext cx="1143001" cy="595503"/>
        </a:xfrm>
        <a:prstGeom prst="wedgeRoundRectCallout">
          <a:avLst>
            <a:gd name="adj1" fmla="val 43990"/>
            <a:gd name="adj2" fmla="val 173714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1.1 Ensure</a:t>
          </a:r>
          <a:r>
            <a:rPr lang="en-US" sz="1100"/>
            <a:t> Correct Project Number</a:t>
          </a:r>
          <a:endParaRPr lang="en-US" sz="1100"/>
        </a:p>
      </xdr:txBody>
    </xdr:sp>
    <xdr:clientData/>
  </xdr:twoCellAnchor>
  <xdr:twoCellAnchor editAs="twoCell">
    <xdr:from>
      <xdr:col>4</xdr:col>
      <xdr:colOff>5715</xdr:colOff>
      <xdr:row>0</xdr:row>
      <xdr:rowOff>46354</xdr:rowOff>
    </xdr:from>
    <xdr:to>
      <xdr:col>4</xdr:col>
      <xdr:colOff>1131571</xdr:colOff>
      <xdr:row>4</xdr:row>
      <xdr:rowOff>49529</xdr:rowOff>
    </xdr:to>
    <xdr:sp>
      <xdr:nvSpPr>
        <xdr:cNvPr id="37" name="Speech Bubble: Rectangle with Corners Rounded 36"/>
        <xdr:cNvSpPr/>
      </xdr:nvSpPr>
      <xdr:spPr bwMode="auto">
        <a:xfrm>
          <a:off x="2647315" y="46354"/>
          <a:ext cx="1125856" cy="682625"/>
        </a:xfrm>
        <a:prstGeom prst="wedgeRoundRectCallout">
          <a:avLst>
            <a:gd name="adj1" fmla="val -73435"/>
            <a:gd name="adj2" fmla="val 138215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1.3 Ensure</a:t>
          </a:r>
          <a:r>
            <a:rPr lang="en-US" sz="1100"/>
            <a:t> Correct Work Pack if Applicable</a:t>
          </a:r>
          <a:endParaRPr lang="en-US" sz="1100"/>
        </a:p>
      </xdr:txBody>
    </xdr:sp>
    <xdr:clientData/>
  </xdr:twoCellAnchor>
  <xdr:twoCellAnchor editAs="twoCell">
    <xdr:from>
      <xdr:col>4</xdr:col>
      <xdr:colOff>2152650</xdr:colOff>
      <xdr:row>0</xdr:row>
      <xdr:rowOff>21591</xdr:rowOff>
    </xdr:from>
    <xdr:to>
      <xdr:col>6</xdr:col>
      <xdr:colOff>469900</xdr:colOff>
      <xdr:row>3</xdr:row>
      <xdr:rowOff>41784</xdr:rowOff>
    </xdr:to>
    <xdr:sp>
      <xdr:nvSpPr>
        <xdr:cNvPr id="38" name="Speech Bubble: Rectangle with Corners Rounded 37"/>
        <xdr:cNvSpPr/>
      </xdr:nvSpPr>
      <xdr:spPr bwMode="auto">
        <a:xfrm>
          <a:off x="4794250" y="21591"/>
          <a:ext cx="1809750" cy="591693"/>
        </a:xfrm>
        <a:prstGeom prst="wedgeRoundRectCallout">
          <a:avLst>
            <a:gd name="adj1" fmla="val -73984"/>
            <a:gd name="adj2" fmla="val 103042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i="0" u="none" strike="noStrike" cap="none" spc="0">
              <a:ln>
                <a:noFill/>
              </a:ln>
              <a:solidFill>
                <a:sysClr val="windowText" lastClr="000000"/>
              </a:solidFill>
            </a:rPr>
            <a:t>6. Enter Correct Picking Ticket Numbers Pipe to Supports as Applicable</a:t>
          </a:r>
          <a:endParaRPr/>
        </a:p>
      </xdr:txBody>
    </xdr:sp>
    <xdr:clientData/>
  </xdr:twoCellAnchor>
  <xdr:twoCellAnchor editAs="twoCell">
    <xdr:from>
      <xdr:col>2</xdr:col>
      <xdr:colOff>644524</xdr:colOff>
      <xdr:row>13</xdr:row>
      <xdr:rowOff>224791</xdr:rowOff>
    </xdr:from>
    <xdr:to>
      <xdr:col>4</xdr:col>
      <xdr:colOff>2302510</xdr:colOff>
      <xdr:row>16</xdr:row>
      <xdr:rowOff>92584</xdr:rowOff>
    </xdr:to>
    <xdr:sp>
      <xdr:nvSpPr>
        <xdr:cNvPr id="39" name="Speech Bubble: Rectangle with Corners Rounded 38"/>
        <xdr:cNvSpPr/>
      </xdr:nvSpPr>
      <xdr:spPr bwMode="auto">
        <a:xfrm>
          <a:off x="1946274" y="3088641"/>
          <a:ext cx="2997836" cy="610743"/>
        </a:xfrm>
        <a:prstGeom prst="wedgeRoundRectCallout">
          <a:avLst>
            <a:gd name="adj1" fmla="val -71390"/>
            <a:gd name="adj2" fmla="val -206920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7.</a:t>
          </a:r>
          <a:r>
            <a:rPr lang="en-US" sz="1100"/>
            <a:t> Enter all: Item No., Item Code, Size, Quantity</a:t>
          </a:r>
          <a:br>
            <a:rPr lang="en-US" sz="1100"/>
          </a:br>
          <a:r>
            <a:rPr lang="en-US" sz="1100"/>
            <a:t>SELECT NEXT TAB WHEN COMPLETE</a:t>
          </a:r>
          <a:endParaRPr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5" activeCellId="0" sqref="E15"/>
    </sheetView>
  </sheetViews>
  <sheetFormatPr defaultRowHeight="15"/>
  <cols>
    <col bestFit="1" customWidth="1" min="1" max="1" width="22.36328125"/>
    <col bestFit="1" customWidth="1" min="2" max="2" width="27.36328125"/>
    <col customWidth="1" min="3" max="3" style="1" width="2.54296875"/>
    <col bestFit="1" customWidth="1" min="4" max="4" width="19.7265625"/>
    <col bestFit="1" customWidth="1" min="5" max="5" width="15.08984375"/>
    <col bestFit="1" customWidth="1" min="6" max="6" width="19.7265625"/>
    <col bestFit="1" customWidth="1" min="7" max="7" width="14.6328125"/>
  </cols>
  <sheetData>
    <row r="1" ht="15.6">
      <c r="A1" s="2" t="s">
        <v>0</v>
      </c>
      <c r="B1" s="3" t="s">
        <v>1</v>
      </c>
      <c r="D1" s="4" t="s">
        <v>2</v>
      </c>
      <c r="E1" s="5" t="s">
        <v>3</v>
      </c>
    </row>
    <row r="2" ht="15.6">
      <c r="A2" s="2" t="s">
        <v>4</v>
      </c>
      <c r="B2" s="6" t="s">
        <v>5</v>
      </c>
      <c r="D2" s="7" t="s">
        <v>6</v>
      </c>
      <c r="E2" s="8"/>
    </row>
    <row r="3" ht="15.6">
      <c r="C3" s="9"/>
      <c r="D3" s="10" t="s">
        <v>7</v>
      </c>
      <c r="E3" s="11">
        <v>1</v>
      </c>
    </row>
    <row r="4" ht="15.6">
      <c r="C4" s="9"/>
      <c r="D4" s="12" t="s">
        <v>8</v>
      </c>
      <c r="E4" s="11">
        <v>1</v>
      </c>
      <c r="I4" s="13"/>
    </row>
    <row r="5" ht="15.6">
      <c r="C5" s="9"/>
      <c r="D5" s="14" t="s">
        <v>9</v>
      </c>
      <c r="E5" s="11">
        <v>1</v>
      </c>
    </row>
    <row r="6" ht="15.6">
      <c r="D6" s="10" t="s">
        <v>10</v>
      </c>
      <c r="E6" s="11">
        <v>1</v>
      </c>
    </row>
    <row r="7" ht="15.6">
      <c r="D7" s="4" t="s">
        <v>11</v>
      </c>
      <c r="E7" s="5">
        <v>40</v>
      </c>
    </row>
    <row r="8" ht="15.6">
      <c r="D8" s="4" t="s">
        <v>12</v>
      </c>
      <c r="E8" s="15" t="s">
        <v>13</v>
      </c>
    </row>
    <row r="9" ht="15.6">
      <c r="D9" s="4" t="s">
        <v>14</v>
      </c>
      <c r="E9" s="15" t="s">
        <v>15</v>
      </c>
    </row>
    <row r="10" ht="15.6">
      <c r="D10" s="4" t="s">
        <v>16</v>
      </c>
      <c r="E10" s="5">
        <v>1</v>
      </c>
    </row>
    <row r="11" ht="15.6">
      <c r="D11" s="4" t="s">
        <v>17</v>
      </c>
      <c r="E11" s="15" t="s">
        <v>18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D60051-0020-429B-8EAE-001B005600D3}">
            <xm:f>1</xm:f>
            <x14:dxf>
              <fill>
                <patternFill patternType="solid">
                  <fgColor rgb="FF99FF99"/>
                  <bgColor rgb="FF99FF99"/>
                </patternFill>
              </fill>
            </x14:dxf>
          </x14:cfRule>
          <xm:sqref>E3:E6</xm:sqref>
        </x14:conditionalFormatting>
        <x14:conditionalFormatting xmlns:xm="http://schemas.microsoft.com/office/excel/2006/main">
          <x14:cfRule type="cellIs" priority="2" operator="equal" id="{00C60084-00EA-4978-8C98-00F8002100A8}">
            <xm:f>0</xm:f>
            <x14:dxf>
              <fill>
                <patternFill patternType="solid">
                  <fgColor rgb="FFFF5050"/>
                  <bgColor rgb="FFFF5050"/>
                </patternFill>
              </fill>
            </x14:dxf>
          </x14:cfRule>
          <xm:sqref>E3:E6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50" workbookViewId="0">
      <selection activeCell="I1" activeCellId="0" sqref="I1"/>
    </sheetView>
  </sheetViews>
  <sheetFormatPr defaultRowHeight="15"/>
  <cols>
    <col customWidth="1" min="1" max="1" style="1" width="6.7265625"/>
    <col min="2" max="3" style="1" width="8.7265625"/>
    <col customWidth="1" min="4" max="4" style="1" width="7.1796875"/>
    <col customWidth="1" min="5" max="5" style="1" width="34.453125"/>
    <col customWidth="1" min="6" max="6" style="1" width="7.1796875"/>
    <col customWidth="1" min="7" max="7" style="1" width="12.7265625"/>
    <col bestFit="1" customWidth="1" min="8" max="8" style="1" width="10.36328125"/>
    <col min="9" max="9" style="1" width="8.7265625"/>
    <col bestFit="1" customWidth="1" min="10" max="10" style="1" width="4.08984375"/>
    <col bestFit="1" customWidth="1" min="11" max="11" style="1" width="6.7265625"/>
    <col bestFit="1" customWidth="1" min="12" max="12" style="1" width="5.08984375"/>
    <col bestFit="1" customWidth="1" min="13" max="13" style="1" width="4.90625"/>
    <col min="14" max="16384" style="1" width="8.7265625"/>
  </cols>
  <sheetData>
    <row r="1">
      <c r="B1" s="16"/>
      <c r="C1" s="16"/>
      <c r="D1" s="16"/>
      <c r="E1" s="16"/>
      <c r="F1" s="16"/>
      <c r="G1" s="16"/>
      <c r="I1" s="17" t="str">
        <f>TEXT(E6,"000000")&amp;"-"&amp;SUBSTITUTE(SUBSTITUTE(E8,CHAR(34),""),"/",".")&amp;"-"&amp;TEXT(F8,"000")&amp;"-R"&amp;TEXT(G8,"00")</f>
        <v>000930-N142703-L-1-001-R01</v>
      </c>
    </row>
    <row r="2">
      <c r="B2" s="16"/>
      <c r="C2" s="16"/>
      <c r="D2" s="16"/>
      <c r="E2" s="16"/>
      <c r="F2" s="16"/>
      <c r="G2" s="16"/>
    </row>
    <row r="3" ht="15" customHeight="1">
      <c r="A3" s="18"/>
      <c r="B3" s="18"/>
      <c r="C3" s="19"/>
      <c r="D3" s="20" t="s">
        <v>19</v>
      </c>
      <c r="E3" s="20"/>
      <c r="F3" s="18" t="s">
        <v>20</v>
      </c>
      <c r="G3" s="18"/>
    </row>
    <row r="4" ht="8.4000000000000004" customHeight="1">
      <c r="C4" s="16"/>
      <c r="D4" s="16"/>
      <c r="E4" s="16"/>
      <c r="F4" s="16"/>
      <c r="G4" s="16"/>
    </row>
    <row r="5" ht="11.4" customHeight="1">
      <c r="A5" s="21" t="s">
        <v>21</v>
      </c>
      <c r="B5" s="22"/>
      <c r="C5" s="21" t="s">
        <v>22</v>
      </c>
      <c r="D5" s="23" t="s">
        <v>23</v>
      </c>
      <c r="E5" s="23" t="s">
        <v>24</v>
      </c>
      <c r="F5" s="21" t="s">
        <v>25</v>
      </c>
      <c r="G5" s="24"/>
      <c r="H5" s="25" t="s">
        <v>26</v>
      </c>
      <c r="I5" s="26">
        <f>Control!E7</f>
        <v>40</v>
      </c>
    </row>
    <row r="6" ht="19.800000000000001" customHeight="1">
      <c r="A6" s="27" t="s">
        <v>27</v>
      </c>
      <c r="B6" s="28"/>
      <c r="C6" s="29" t="str">
        <f t="array" ref="C6">""&amp; _xlfn.TEXTJOIN("",TRUE,IF(ISNUMBER(--MID(Control!B1,_xlfn.SEQUENCE(LEN(Control!B1)),1)),
MID(Control!B1,_xlfn.SEQUENCE(LEN(Control!B1)),1),"")) &amp; "-"</f>
        <v>169-</v>
      </c>
      <c r="D6" s="30" t="str">
        <f ca="1">_xlfn.LET(_xlpm.isPipe, _xlfn.SHEET()=2, _xlpm.firstCode, IF(OR(I6="None",I6=""), IF(I5&lt;=90,"2A", IF(I5&lt;=120,"2B", IF(I5&lt;=200,"2C",  IF(I5&lt;=400,"2D", IF(I5&lt;=650,"2I",""))))), IF(I5&lt;=150,"2E", IF(I5&lt;=650,"2I",""))), _xlpm.secondCode, IF(OR(I6="None",I6=""), IF(I5&lt;=90,"5A", IF(I5&lt;=200,"5B","")), IF(I5&lt;=150,"5C", IF(I5&lt;=650,"2I",""))), IF(_xlpm.isPipe, _xlpm.firstCode, _xlpm.firstCode&amp;"/"&amp;_xlpm.secondCode))</f>
        <v>2A</v>
      </c>
      <c r="E6" s="31" t="str">
        <f>IF(Control!E3=1,TEXT(Control!E1+1,"000000"), "")</f>
        <v>000930</v>
      </c>
      <c r="F6" s="32"/>
      <c r="G6" s="33"/>
      <c r="H6" s="25" t="s">
        <v>28</v>
      </c>
      <c r="I6" s="34" t="str">
        <f>Control!E8</f>
        <v>None</v>
      </c>
    </row>
    <row r="7" ht="12" customHeight="1">
      <c r="A7" s="35" t="s">
        <v>0</v>
      </c>
      <c r="B7" s="36"/>
      <c r="C7" s="37"/>
      <c r="D7" s="38" t="s">
        <v>4</v>
      </c>
      <c r="E7" s="38" t="s">
        <v>29</v>
      </c>
      <c r="F7" s="38" t="s">
        <v>30</v>
      </c>
      <c r="G7" s="38" t="s">
        <v>31</v>
      </c>
      <c r="H7" s="39"/>
    </row>
    <row r="8" ht="19.800000000000001" customHeight="1">
      <c r="A8" s="40" t="s">
        <v>1</v>
      </c>
      <c r="B8" s="41"/>
      <c r="C8" s="42"/>
      <c r="D8" s="31" t="str">
        <f>Control!B2</f>
        <v>WP1</v>
      </c>
      <c r="E8" s="43" t="str">
        <f>(Control!E9) &amp; IF(Control!E8&lt;&gt;"none","-"&amp;Control!E8,"")</f>
        <v>N142703-L-1"</v>
      </c>
      <c r="F8" s="43">
        <f>Control!E10</f>
        <v>1</v>
      </c>
      <c r="G8" s="43" t="str">
        <f>Control!E11</f>
        <v>01</v>
      </c>
    </row>
    <row r="9" ht="31.800000000000001" customHeight="1">
      <c r="A9" s="44" t="s">
        <v>32</v>
      </c>
      <c r="B9" s="44" t="s">
        <v>33</v>
      </c>
      <c r="C9" s="44" t="s">
        <v>34</v>
      </c>
      <c r="D9" s="44" t="s">
        <v>35</v>
      </c>
      <c r="E9" s="45" t="s">
        <v>36</v>
      </c>
      <c r="F9" s="44" t="s">
        <v>37</v>
      </c>
      <c r="G9" s="44" t="s">
        <v>38</v>
      </c>
    </row>
    <row r="10" s="46" customFormat="1" ht="19.800000000000001" customHeight="1">
      <c r="A10" s="47">
        <v>1</v>
      </c>
      <c r="B10" s="48" t="s">
        <v>39</v>
      </c>
      <c r="C10" s="47" t="s">
        <v>40</v>
      </c>
      <c r="D10" s="47" t="s">
        <v>41</v>
      </c>
      <c r="E10" s="49" t="str">
        <f>IFERROR(INDEX('Item codes'!B1:B261,MATCH(B10,'Item codes'!A1:A261,0)),"")</f>
        <v xml:space="preserve">PIPE SCH 80 SMLS STL A106 B</v>
      </c>
      <c r="F10" s="49"/>
      <c r="G10" s="49"/>
    </row>
    <row r="11" s="46" customFormat="1" ht="19.800000000000001" customHeight="1">
      <c r="A11" s="47"/>
      <c r="B11" s="48"/>
      <c r="C11" s="47"/>
      <c r="D11" s="47"/>
      <c r="E11" s="49" t="str">
        <f>IFERROR(INDEX('Item codes'!B1:B261,MATCH(B11,'Item codes'!A1:A261,0)),"")</f>
        <v/>
      </c>
      <c r="F11" s="49"/>
      <c r="G11" s="49"/>
    </row>
    <row r="12" ht="19.800000000000001" customHeight="1">
      <c r="A12" s="47"/>
      <c r="B12" s="48"/>
      <c r="C12" s="47"/>
      <c r="D12" s="47"/>
      <c r="E12" s="49" t="str">
        <f>IFERROR(INDEX('Item codes'!B1:B261,MATCH(B12,'Item codes'!A1:A261,0)),"")</f>
        <v/>
      </c>
      <c r="F12" s="49"/>
      <c r="G12" s="49"/>
    </row>
    <row r="13" ht="19.800000000000001" customHeight="1">
      <c r="A13" s="47"/>
      <c r="B13" s="48"/>
      <c r="C13" s="47"/>
      <c r="D13" s="47"/>
      <c r="E13" s="49" t="str">
        <f>IFERROR(INDEX('Item codes'!B1:B261,MATCH(B13,'Item codes'!A1:A261,0)),"")</f>
        <v/>
      </c>
      <c r="F13" s="49"/>
      <c r="G13" s="49"/>
    </row>
    <row r="14" ht="19.800000000000001" customHeight="1">
      <c r="A14" s="47"/>
      <c r="B14" s="48"/>
      <c r="C14" s="47"/>
      <c r="D14" s="47"/>
      <c r="E14" s="49" t="str">
        <f>IFERROR(INDEX('Item codes'!B1:B261,MATCH(B14,'Item codes'!A1:A261,0)),"")</f>
        <v/>
      </c>
      <c r="F14" s="49"/>
      <c r="G14" s="49"/>
    </row>
    <row r="15" ht="19.800000000000001" customHeight="1">
      <c r="A15" s="47"/>
      <c r="B15" s="48"/>
      <c r="C15" s="47"/>
      <c r="D15" s="47"/>
      <c r="E15" s="49" t="str">
        <f>IFERROR(INDEX('Item codes'!B1:B261,MATCH(B15,'Item codes'!A1:A261,0)),"")</f>
        <v/>
      </c>
      <c r="F15" s="49"/>
      <c r="G15" s="49"/>
    </row>
    <row r="16" ht="19.800000000000001" customHeight="1">
      <c r="A16" s="47"/>
      <c r="B16" s="48"/>
      <c r="C16" s="47"/>
      <c r="D16" s="47"/>
      <c r="E16" s="49" t="str">
        <f>IFERROR(INDEX('Item codes'!B1:B261,MATCH(B16,'Item codes'!A1:A261,0)),"")</f>
        <v/>
      </c>
      <c r="F16" s="49"/>
      <c r="G16" s="49"/>
    </row>
    <row r="17" ht="19.800000000000001" customHeight="1">
      <c r="A17" s="47"/>
      <c r="B17" s="48"/>
      <c r="C17" s="47"/>
      <c r="D17" s="47"/>
      <c r="E17" s="49" t="str">
        <f>IFERROR(INDEX('Item codes'!B1:B261,MATCH(B17,'Item codes'!A1:A261,0)),"")</f>
        <v/>
      </c>
      <c r="F17" s="49"/>
      <c r="G17" s="49"/>
    </row>
    <row r="18" ht="19.800000000000001" customHeight="1">
      <c r="A18" s="47"/>
      <c r="B18" s="48"/>
      <c r="C18" s="47"/>
      <c r="D18" s="47"/>
      <c r="E18" s="49" t="str">
        <f>IFERROR(INDEX('Item codes'!B1:B261,MATCH(B18,'Item codes'!A1:A261,0)),"")</f>
        <v/>
      </c>
      <c r="F18" s="49"/>
      <c r="G18" s="49"/>
    </row>
    <row r="19" ht="19.800000000000001" customHeight="1">
      <c r="A19" s="47"/>
      <c r="B19" s="48"/>
      <c r="C19" s="47"/>
      <c r="D19" s="47"/>
      <c r="E19" s="49" t="str">
        <f>IFERROR(INDEX('Item codes'!B1:B261,MATCH(B19,'Item codes'!A1:A261,0)),"")</f>
        <v/>
      </c>
      <c r="F19" s="49"/>
      <c r="G19" s="49"/>
    </row>
    <row r="20" ht="19.800000000000001" customHeight="1">
      <c r="A20" s="47"/>
      <c r="B20" s="48"/>
      <c r="C20" s="47"/>
      <c r="D20" s="47"/>
      <c r="E20" s="49" t="str">
        <f>IFERROR(INDEX('Item codes'!B1:B261,MATCH(B20,'Item codes'!A1:A261,0)),"")</f>
        <v/>
      </c>
      <c r="F20" s="49"/>
      <c r="G20" s="49"/>
    </row>
    <row r="21" ht="19.800000000000001" customHeight="1">
      <c r="A21" s="47"/>
      <c r="B21" s="48"/>
      <c r="C21" s="47"/>
      <c r="D21" s="47"/>
      <c r="E21" s="49" t="str">
        <f>IFERROR(INDEX('Item codes'!B1:B261,MATCH(B21,'Item codes'!A1:A261,0)),"")</f>
        <v/>
      </c>
      <c r="F21" s="49"/>
      <c r="G21" s="49"/>
    </row>
    <row r="22" ht="19.800000000000001" customHeight="1">
      <c r="A22" s="47"/>
      <c r="B22" s="48"/>
      <c r="C22" s="47"/>
      <c r="D22" s="47"/>
      <c r="E22" s="49" t="str">
        <f>IFERROR(INDEX('Item codes'!B1:B261,MATCH(B22,'Item codes'!A1:A261,0)),"")</f>
        <v/>
      </c>
      <c r="F22" s="49"/>
      <c r="G22" s="49"/>
    </row>
    <row r="23" ht="19.800000000000001" customHeight="1">
      <c r="A23" s="47"/>
      <c r="B23" s="48"/>
      <c r="C23" s="47"/>
      <c r="D23" s="47"/>
      <c r="E23" s="49" t="str">
        <f>IFERROR(INDEX('Item codes'!B1:B261,MATCH(B23,'Item codes'!A1:A261,0)),"")</f>
        <v/>
      </c>
      <c r="F23" s="49"/>
      <c r="G23" s="49"/>
    </row>
    <row r="24" ht="19.800000000000001" customHeight="1">
      <c r="A24" s="47"/>
      <c r="B24" s="48"/>
      <c r="C24" s="47"/>
      <c r="D24" s="47"/>
      <c r="E24" s="49" t="str">
        <f>IFERROR(INDEX('Item codes'!B1:B261,MATCH(B24,'Item codes'!A1:A261,0)),"")</f>
        <v/>
      </c>
      <c r="F24" s="49"/>
      <c r="G24" s="49"/>
    </row>
    <row r="25" ht="19.800000000000001" customHeight="1">
      <c r="A25" s="47"/>
      <c r="B25" s="48"/>
      <c r="C25" s="47"/>
      <c r="D25" s="47"/>
      <c r="E25" s="49" t="str">
        <f>IFERROR(INDEX('Item codes'!B1:B261,MATCH(B25,'Item codes'!A1:A261,0)),"")</f>
        <v/>
      </c>
      <c r="F25" s="49"/>
      <c r="G25" s="49"/>
    </row>
    <row r="26" ht="19.800000000000001" customHeight="1">
      <c r="A26" s="47"/>
      <c r="B26" s="48"/>
      <c r="C26" s="47"/>
      <c r="D26" s="47"/>
      <c r="E26" s="49" t="str">
        <f>IFERROR(INDEX('Item codes'!B1:B261,MATCH(B26,'Item codes'!A1:A261,0)),"")</f>
        <v/>
      </c>
      <c r="F26" s="49"/>
      <c r="G26" s="49"/>
    </row>
    <row r="27" ht="19.800000000000001" customHeight="1">
      <c r="A27" s="47"/>
      <c r="B27" s="48"/>
      <c r="C27" s="47"/>
      <c r="D27" s="47"/>
      <c r="E27" s="49" t="str">
        <f>IFERROR(INDEX('Item codes'!B1:B261,MATCH(B27,'Item codes'!A1:A261,0)),"")</f>
        <v/>
      </c>
      <c r="F27" s="49"/>
      <c r="G27" s="49"/>
    </row>
    <row r="28" ht="19.800000000000001" customHeight="1">
      <c r="A28" s="47"/>
      <c r="B28" s="48"/>
      <c r="C28" s="47"/>
      <c r="D28" s="47"/>
      <c r="E28" s="49" t="str">
        <f>IFERROR(INDEX('Item codes'!B1:B261,MATCH(B28,'Item codes'!A1:A261,0)),"")</f>
        <v/>
      </c>
      <c r="F28" s="49"/>
      <c r="G28" s="49"/>
    </row>
    <row r="29" ht="19.800000000000001" customHeight="1">
      <c r="A29" s="47"/>
      <c r="B29" s="48"/>
      <c r="C29" s="47"/>
      <c r="D29" s="47"/>
      <c r="E29" s="49" t="str">
        <f>IFERROR(INDEX('Item codes'!B1:B261,MATCH(B29,'Item codes'!A1:A261,0)),"")</f>
        <v/>
      </c>
      <c r="F29" s="49"/>
      <c r="G29" s="49"/>
    </row>
    <row r="30" ht="19.800000000000001" customHeight="1">
      <c r="A30" s="47"/>
      <c r="B30" s="48"/>
      <c r="C30" s="47"/>
      <c r="D30" s="47"/>
      <c r="E30" s="49" t="str">
        <f>IFERROR(INDEX('Item codes'!B1:B261,MATCH(B30,'Item codes'!A1:A261,0)),"")</f>
        <v/>
      </c>
      <c r="F30" s="49"/>
      <c r="G30" s="49"/>
    </row>
    <row r="31" ht="19.800000000000001" customHeight="1">
      <c r="A31" s="47"/>
      <c r="B31" s="48"/>
      <c r="C31" s="47"/>
      <c r="D31" s="47"/>
      <c r="E31" s="49" t="str">
        <f>IFERROR(INDEX('Item codes'!B1:B261,MATCH(B31,'Item codes'!A1:A261,0)),"")</f>
        <v/>
      </c>
      <c r="F31" s="49"/>
      <c r="G31" s="49"/>
    </row>
    <row r="32" ht="19.800000000000001" customHeight="1">
      <c r="A32" s="47"/>
      <c r="B32" s="48"/>
      <c r="C32" s="47"/>
      <c r="D32" s="47"/>
      <c r="E32" s="49" t="str">
        <f>IFERROR(INDEX('Item codes'!B1:B261,MATCH(B32,'Item codes'!A1:A261,0)),"")</f>
        <v/>
      </c>
      <c r="F32" s="49"/>
      <c r="G32" s="49"/>
    </row>
    <row r="33" ht="19.800000000000001" customHeight="1">
      <c r="A33" s="47"/>
      <c r="B33" s="48"/>
      <c r="C33" s="47"/>
      <c r="D33" s="47"/>
      <c r="E33" s="49" t="str">
        <f>IFERROR(INDEX('Item codes'!B1:B261,MATCH(B33,'Item codes'!A1:A261,0)),"")</f>
        <v/>
      </c>
      <c r="F33" s="49"/>
      <c r="G33" s="49"/>
    </row>
    <row r="34" ht="12.6" customHeight="1">
      <c r="A34" s="50" t="s">
        <v>42</v>
      </c>
      <c r="B34" s="51"/>
      <c r="C34" s="51"/>
      <c r="D34" s="51"/>
      <c r="E34" s="51"/>
      <c r="F34" s="51"/>
      <c r="G34" s="52"/>
    </row>
    <row r="35" ht="12" customHeight="1">
      <c r="A35" s="53" t="s">
        <v>43</v>
      </c>
      <c r="B35" s="54"/>
      <c r="C35" s="54"/>
      <c r="D35" s="55"/>
      <c r="E35" s="56" t="s">
        <v>44</v>
      </c>
      <c r="F35" s="53" t="s">
        <v>45</v>
      </c>
      <c r="G35" s="55"/>
    </row>
    <row r="36" ht="34.799999999999997" customHeight="1">
      <c r="A36" s="57"/>
      <c r="B36" s="58"/>
      <c r="C36" s="58"/>
      <c r="D36" s="59"/>
      <c r="E36" s="60"/>
      <c r="F36" s="57"/>
      <c r="G36" s="61"/>
    </row>
  </sheetData>
  <sheetProtection autoFilter="1" deleteColumns="1" deleteRows="1" formatCells="1" formatColumns="1" formatRows="1" insertColumns="1" insertHyperlinks="1" insertRows="1" pivotTables="1" selectLockedCells="0" selectUnlockedCells="0" sheet="0" sort="1"/>
  <mergeCells count="14">
    <mergeCell ref="F35:G35"/>
    <mergeCell ref="F36:G36"/>
    <mergeCell ref="A35:D35"/>
    <mergeCell ref="A6:B6"/>
    <mergeCell ref="F6:G6"/>
    <mergeCell ref="A7:C7"/>
    <mergeCell ref="A8:C8"/>
    <mergeCell ref="A36:C36"/>
    <mergeCell ref="A34:G34"/>
    <mergeCell ref="A3:B3"/>
    <mergeCell ref="D3:E3"/>
    <mergeCell ref="F3:G3"/>
    <mergeCell ref="A5:B5"/>
    <mergeCell ref="F5:G5"/>
  </mergeCells>
  <printOptions headings="0" gridLines="0" horizontalCentered="1" verticalCentered="1"/>
  <pageMargins left="0.25" right="0.25" top="0.75" bottom="0.75" header="0.29999999999999999" footer="0.29999999999999999"/>
  <pageSetup paperSize="9" scale="96" fitToWidth="1" fitToHeight="1" pageOrder="downThenOver" orientation="portrait" usePrinterDefaults="1" blackAndWhite="0" draft="0" cellComments="none" useFirstPageNumber="0" errors="displayed" horizontalDpi="1200" verticalDpi="12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" id="{00E50017-0026-47FE-91CE-00AB004F0004}">
            <xm:f>Control!$E$3=0</xm:f>
            <x14:dxf>
              <fill>
                <patternFill patternType="solid">
                  <fgColor rgb="FFFF9999"/>
                  <bgColor rgb="FFFF9999"/>
                </patternFill>
              </fill>
            </x14:dxf>
          </x14:cfRule>
          <xm:sqref>1:1048576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view="pageBreakPreview" zoomScale="150" workbookViewId="0">
      <selection activeCell="I1" activeCellId="0" sqref="I1"/>
    </sheetView>
  </sheetViews>
  <sheetFormatPr defaultRowHeight="15"/>
  <cols>
    <col customWidth="1" min="1" max="1" style="1" width="6.7265625"/>
    <col min="2" max="3" style="1" width="8.7265625"/>
    <col customWidth="1" min="4" max="4" style="1" width="7.1796875"/>
    <col customWidth="1" min="5" max="5" style="1" width="34.453125"/>
    <col customWidth="1" min="6" max="6" style="1" width="7.1796875"/>
    <col customWidth="1" min="7" max="7" style="1" width="12.7265625"/>
    <col bestFit="1" customWidth="1" min="8" max="8" style="1" width="10.36328125"/>
    <col min="9" max="16384" style="1" width="8.7265625"/>
  </cols>
  <sheetData>
    <row r="1">
      <c r="B1" s="16"/>
      <c r="C1" s="16"/>
      <c r="D1" s="16"/>
      <c r="E1" s="16"/>
      <c r="F1" s="16"/>
      <c r="G1" s="16"/>
      <c r="I1" s="17" t="str">
        <f>TEXT(E6,"000000")&amp;"-"&amp;SUBSTITUTE(SUBSTITUTE(E8,CHAR(34),""),"/",".")&amp;"-"&amp;TEXT(F8,"000")&amp;"-R"&amp;TEXT(G8,"00")</f>
        <v>000931-N142703-L-1-001-R01</v>
      </c>
    </row>
    <row r="2">
      <c r="B2" s="16"/>
      <c r="C2" s="16"/>
      <c r="D2" s="16"/>
      <c r="E2" s="16"/>
      <c r="F2" s="16"/>
      <c r="G2" s="16"/>
    </row>
    <row r="3" ht="15" customHeight="1">
      <c r="A3" s="18"/>
      <c r="B3" s="18"/>
      <c r="C3" s="19"/>
      <c r="D3" s="20" t="s">
        <v>19</v>
      </c>
      <c r="E3" s="20"/>
      <c r="F3" s="18" t="s">
        <v>20</v>
      </c>
      <c r="G3" s="18"/>
    </row>
    <row r="4" ht="8.4000000000000004" customHeight="1">
      <c r="C4" s="16"/>
      <c r="D4" s="16"/>
      <c r="E4" s="16"/>
      <c r="F4" s="16"/>
      <c r="G4" s="16"/>
    </row>
    <row r="5" ht="11.4" customHeight="1">
      <c r="A5" s="21" t="s">
        <v>21</v>
      </c>
      <c r="B5" s="22"/>
      <c r="C5" s="21" t="s">
        <v>22</v>
      </c>
      <c r="D5" s="23" t="s">
        <v>23</v>
      </c>
      <c r="E5" s="23" t="s">
        <v>24</v>
      </c>
      <c r="F5" s="21" t="s">
        <v>25</v>
      </c>
      <c r="G5" s="24"/>
      <c r="H5" s="25" t="s">
        <v>26</v>
      </c>
      <c r="I5" s="62">
        <f>Pipe!I5</f>
        <v>40</v>
      </c>
    </row>
    <row r="6" ht="19.800000000000001" customHeight="1">
      <c r="A6" s="27" t="s">
        <v>8</v>
      </c>
      <c r="B6" s="28"/>
      <c r="C6" s="29" t="str">
        <f>Pipe!C6</f>
        <v>169-</v>
      </c>
      <c r="D6" s="30" t="str">
        <f ca="1">_xlfn.LET(_xlpm.isPipe, _xlfn.SHEET()=2, _xlpm.firstCode, IF(OR(I6="None",I6=""), IF(I5&lt;=90,"2A", IF(I5&lt;=120,"2B", IF(I5&lt;=200,"2C", IF(I5&lt;=400,"2B", IF(I5&lt;=650,"2I",""))))),IF(I5&lt;=150,"2E", IF(I5&lt;=650,"2I",""))), _xlpm.secondCode, IF(OR(I6="None",I6=""), IF(I5&lt;=90,"5A", IF(I5&lt;=200,"5B","2I")), IF(I5&lt;=150,"5C", IF(I5&lt;=650,"2I",""))), IF(_xlpm.isPipe, _xlpm.firstCode, _xlpm.firstCode&amp;"/"&amp;_xlpm.secondCode))</f>
        <v>2A/5A</v>
      </c>
      <c r="E6" s="31" t="str">
        <f>IF(Control!E4=1,TEXT(Control!E1+Control!E3+1,"000000"), "")</f>
        <v>000931</v>
      </c>
      <c r="F6" s="32"/>
      <c r="G6" s="33"/>
      <c r="H6" s="25" t="s">
        <v>28</v>
      </c>
      <c r="I6" s="63" t="str">
        <f>Pipe!I6</f>
        <v>None</v>
      </c>
    </row>
    <row r="7" ht="12" customHeight="1">
      <c r="A7" s="35" t="s">
        <v>0</v>
      </c>
      <c r="B7" s="36"/>
      <c r="C7" s="37"/>
      <c r="D7" s="38" t="s">
        <v>4</v>
      </c>
      <c r="E7" s="38" t="s">
        <v>29</v>
      </c>
      <c r="F7" s="38" t="s">
        <v>30</v>
      </c>
      <c r="G7" s="38" t="s">
        <v>31</v>
      </c>
    </row>
    <row r="8" ht="19.800000000000001" customHeight="1">
      <c r="A8" s="40" t="str">
        <f>Pipe!A8</f>
        <v xml:space="preserve">AZAC169 - Natref Hybird Project</v>
      </c>
      <c r="B8" s="41">
        <f>Pipe!B8</f>
        <v>0</v>
      </c>
      <c r="C8" s="42">
        <f>Pipe!C8</f>
        <v>0</v>
      </c>
      <c r="D8" s="64" t="str">
        <f>Pipe!D8</f>
        <v>WP1</v>
      </c>
      <c r="E8" s="43" t="str">
        <f>Pipe!E8</f>
        <v>N142703-L-1"</v>
      </c>
      <c r="F8" s="65">
        <f>Pipe!F8</f>
        <v>1</v>
      </c>
      <c r="G8" s="65" t="str">
        <f>Pipe!G8</f>
        <v>01</v>
      </c>
    </row>
    <row r="9" ht="31.800000000000001" customHeight="1">
      <c r="A9" s="44" t="s">
        <v>32</v>
      </c>
      <c r="B9" s="44" t="s">
        <v>33</v>
      </c>
      <c r="C9" s="44" t="s">
        <v>34</v>
      </c>
      <c r="D9" s="44" t="s">
        <v>35</v>
      </c>
      <c r="E9" s="45" t="s">
        <v>36</v>
      </c>
      <c r="F9" s="44" t="s">
        <v>37</v>
      </c>
      <c r="G9" s="44" t="s">
        <v>38</v>
      </c>
    </row>
    <row r="10" s="46" customFormat="1" ht="19.800000000000001" customHeight="1">
      <c r="A10" s="47">
        <v>1</v>
      </c>
      <c r="B10" s="48" t="s">
        <v>46</v>
      </c>
      <c r="C10" s="47" t="s">
        <v>40</v>
      </c>
      <c r="D10" s="47">
        <v>1</v>
      </c>
      <c r="E10" s="49" t="str">
        <f>IFERROR(INDEX('Item codes'!B1:B261,MATCH(B10,'Item codes'!A1:A261,0)),"")</f>
        <v xml:space="preserve">RED TEE SCH XS STL A234 WPB</v>
      </c>
      <c r="F10" s="49"/>
      <c r="G10" s="49"/>
    </row>
    <row r="11" s="46" customFormat="1" ht="19.800000000000001" customHeight="1">
      <c r="A11" s="47">
        <v>2</v>
      </c>
      <c r="B11" s="48" t="s">
        <v>47</v>
      </c>
      <c r="C11" s="47" t="s">
        <v>40</v>
      </c>
      <c r="D11" s="47">
        <v>1</v>
      </c>
      <c r="E11" s="49" t="str">
        <f>IFERROR(INDEX('Item codes'!B2:B262,MATCH(B11,'Item codes'!A2:A262,0)),"")</f>
        <v xml:space="preserve">FLANGE WN CL 150 RF XS BORE A105</v>
      </c>
      <c r="F11" s="49"/>
      <c r="G11" s="49"/>
    </row>
    <row r="12" ht="19.800000000000001" customHeight="1">
      <c r="A12" s="47">
        <v>3</v>
      </c>
      <c r="B12" s="48" t="s">
        <v>48</v>
      </c>
      <c r="C12" s="47" t="s">
        <v>40</v>
      </c>
      <c r="D12" s="47">
        <v>2</v>
      </c>
      <c r="E12" s="49" t="str">
        <f>IFERROR(INDEX('Item codes'!B3:B263,MATCH(B12,'Item codes'!A3:A263,0)),"")</f>
        <v xml:space="preserve">FLANGE WN CL 300 RF XS BORE STL A105</v>
      </c>
      <c r="F12" s="49"/>
      <c r="G12" s="49"/>
    </row>
    <row r="13" ht="19.800000000000001" customHeight="1">
      <c r="A13" s="47"/>
      <c r="B13" s="48"/>
      <c r="C13" s="47"/>
      <c r="D13" s="47"/>
      <c r="E13" s="49" t="str">
        <f>IFERROR(INDEX('Item codes'!B4:B264,MATCH(B13,'Item codes'!A4:A264,0)),"")</f>
        <v/>
      </c>
      <c r="F13" s="49"/>
      <c r="G13" s="49"/>
    </row>
    <row r="14" ht="19.800000000000001" customHeight="1">
      <c r="A14" s="47"/>
      <c r="B14" s="48"/>
      <c r="C14" s="47"/>
      <c r="D14" s="47"/>
      <c r="E14" s="49" t="str">
        <f>IFERROR(INDEX('Item codes'!B5:B265,MATCH(B14,'Item codes'!A5:A265,0)),"")</f>
        <v/>
      </c>
      <c r="F14" s="49"/>
      <c r="G14" s="49"/>
    </row>
    <row r="15" ht="19.800000000000001" customHeight="1">
      <c r="A15" s="47"/>
      <c r="B15" s="48"/>
      <c r="C15" s="47"/>
      <c r="D15" s="47"/>
      <c r="E15" s="49" t="str">
        <f>IFERROR(INDEX('Item codes'!B6:B266,MATCH(B15,'Item codes'!A6:A266,0)),"")</f>
        <v/>
      </c>
      <c r="F15" s="49"/>
      <c r="G15" s="49"/>
    </row>
    <row r="16" ht="19.800000000000001" customHeight="1">
      <c r="A16" s="47"/>
      <c r="B16" s="48"/>
      <c r="C16" s="47"/>
      <c r="D16" s="47"/>
      <c r="E16" s="49" t="str">
        <f>IFERROR(INDEX('Item codes'!B7:B267,MATCH(B16,'Item codes'!A7:A267,0)),"")</f>
        <v/>
      </c>
      <c r="F16" s="49"/>
      <c r="G16" s="49"/>
    </row>
    <row r="17" ht="19.800000000000001" customHeight="1">
      <c r="A17" s="47"/>
      <c r="B17" s="48"/>
      <c r="C17" s="47"/>
      <c r="D17" s="47"/>
      <c r="E17" s="49" t="str">
        <f>IFERROR(INDEX('Item codes'!B8:B268,MATCH(B17,'Item codes'!A8:A268,0)),"")</f>
        <v/>
      </c>
      <c r="F17" s="49"/>
      <c r="G17" s="49"/>
    </row>
    <row r="18" ht="19.800000000000001" customHeight="1">
      <c r="A18" s="47"/>
      <c r="B18" s="48"/>
      <c r="C18" s="47"/>
      <c r="D18" s="47"/>
      <c r="E18" s="49" t="str">
        <f>IFERROR(INDEX('Item codes'!B9:B269,MATCH(B18,'Item codes'!A9:A269,0)),"")</f>
        <v/>
      </c>
      <c r="F18" s="49"/>
      <c r="G18" s="49"/>
    </row>
    <row r="19" ht="19.800000000000001" customHeight="1">
      <c r="A19" s="47"/>
      <c r="B19" s="48"/>
      <c r="C19" s="47"/>
      <c r="D19" s="47"/>
      <c r="E19" s="49" t="str">
        <f>IFERROR(INDEX('Item codes'!B10:B270,MATCH(B19,'Item codes'!A10:A270,0)),"")</f>
        <v/>
      </c>
      <c r="F19" s="49"/>
      <c r="G19" s="49"/>
    </row>
    <row r="20" ht="19.800000000000001" customHeight="1">
      <c r="A20" s="47"/>
      <c r="B20" s="48"/>
      <c r="C20" s="47"/>
      <c r="D20" s="47"/>
      <c r="E20" s="49" t="str">
        <f>IFERROR(INDEX('Item codes'!B11:B271,MATCH(B20,'Item codes'!A11:A271,0)),"")</f>
        <v/>
      </c>
      <c r="F20" s="49"/>
      <c r="G20" s="49"/>
    </row>
    <row r="21" ht="19.800000000000001" customHeight="1">
      <c r="A21" s="47"/>
      <c r="B21" s="48"/>
      <c r="C21" s="47"/>
      <c r="D21" s="47"/>
      <c r="E21" s="49" t="str">
        <f>IFERROR(INDEX('Item codes'!B12:B272,MATCH(B21,'Item codes'!A12:A272,0)),"")</f>
        <v/>
      </c>
      <c r="F21" s="49"/>
      <c r="G21" s="49"/>
    </row>
    <row r="22" ht="19.800000000000001" customHeight="1">
      <c r="A22" s="47"/>
      <c r="B22" s="48"/>
      <c r="C22" s="47"/>
      <c r="D22" s="47"/>
      <c r="E22" s="49" t="str">
        <f>IFERROR(INDEX('Item codes'!B13:B273,MATCH(B22,'Item codes'!A13:A273,0)),"")</f>
        <v/>
      </c>
      <c r="F22" s="49"/>
      <c r="G22" s="49"/>
    </row>
    <row r="23" ht="19.800000000000001" customHeight="1">
      <c r="A23" s="47"/>
      <c r="B23" s="48"/>
      <c r="C23" s="47"/>
      <c r="D23" s="47"/>
      <c r="E23" s="49" t="str">
        <f>IFERROR(INDEX('Item codes'!B14:B274,MATCH(B23,'Item codes'!A14:A274,0)),"")</f>
        <v/>
      </c>
      <c r="F23" s="49"/>
      <c r="G23" s="49"/>
    </row>
    <row r="24" ht="19.800000000000001" customHeight="1">
      <c r="A24" s="47"/>
      <c r="B24" s="48"/>
      <c r="C24" s="47"/>
      <c r="D24" s="47"/>
      <c r="E24" s="49" t="str">
        <f>IFERROR(INDEX('Item codes'!B15:B275,MATCH(B24,'Item codes'!A15:A275,0)),"")</f>
        <v/>
      </c>
      <c r="F24" s="49"/>
      <c r="G24" s="49"/>
    </row>
    <row r="25" ht="19.800000000000001" customHeight="1">
      <c r="A25" s="47"/>
      <c r="B25" s="48"/>
      <c r="C25" s="47"/>
      <c r="D25" s="47"/>
      <c r="E25" s="49" t="str">
        <f>IFERROR(INDEX('Item codes'!B16:B276,MATCH(B25,'Item codes'!A16:A276,0)),"")</f>
        <v/>
      </c>
      <c r="F25" s="49"/>
      <c r="G25" s="49"/>
    </row>
    <row r="26" ht="19.800000000000001" customHeight="1">
      <c r="A26" s="47"/>
      <c r="B26" s="48"/>
      <c r="C26" s="47"/>
      <c r="D26" s="47"/>
      <c r="E26" s="49" t="str">
        <f>IFERROR(INDEX('Item codes'!B17:B277,MATCH(B26,'Item codes'!A17:A277,0)),"")</f>
        <v/>
      </c>
      <c r="F26" s="49"/>
      <c r="G26" s="49"/>
    </row>
    <row r="27" ht="19.800000000000001" customHeight="1">
      <c r="A27" s="47"/>
      <c r="B27" s="48"/>
      <c r="C27" s="47"/>
      <c r="D27" s="47"/>
      <c r="E27" s="49" t="str">
        <f>IFERROR(INDEX('Item codes'!B18:B278,MATCH(B27,'Item codes'!A18:A278,0)),"")</f>
        <v/>
      </c>
      <c r="F27" s="49"/>
      <c r="G27" s="49"/>
    </row>
    <row r="28" ht="19.800000000000001" customHeight="1">
      <c r="A28" s="47"/>
      <c r="B28" s="48"/>
      <c r="C28" s="47"/>
      <c r="D28" s="47"/>
      <c r="E28" s="49" t="str">
        <f>IFERROR(INDEX('Item codes'!B19:B279,MATCH(B28,'Item codes'!A19:A279,0)),"")</f>
        <v/>
      </c>
      <c r="F28" s="49"/>
      <c r="G28" s="49"/>
    </row>
    <row r="29" ht="19.800000000000001" customHeight="1">
      <c r="A29" s="47"/>
      <c r="B29" s="48"/>
      <c r="C29" s="47"/>
      <c r="D29" s="47"/>
      <c r="E29" s="49" t="str">
        <f>IFERROR(INDEX('Item codes'!B20:B280,MATCH(B29,'Item codes'!A20:A280,0)),"")</f>
        <v/>
      </c>
      <c r="F29" s="49"/>
      <c r="G29" s="49"/>
    </row>
    <row r="30" ht="19.800000000000001" customHeight="1">
      <c r="A30" s="47"/>
      <c r="B30" s="48"/>
      <c r="C30" s="47"/>
      <c r="D30" s="47"/>
      <c r="E30" s="49" t="str">
        <f>IFERROR(INDEX('Item codes'!B21:B281,MATCH(B30,'Item codes'!A21:A281,0)),"")</f>
        <v/>
      </c>
      <c r="F30" s="49"/>
      <c r="G30" s="49"/>
    </row>
    <row r="31" ht="19.800000000000001" customHeight="1">
      <c r="A31" s="47"/>
      <c r="B31" s="48"/>
      <c r="C31" s="47"/>
      <c r="D31" s="47"/>
      <c r="E31" s="49" t="str">
        <f>IFERROR(INDEX('Item codes'!B22:B282,MATCH(B31,'Item codes'!A22:A282,0)),"")</f>
        <v/>
      </c>
      <c r="F31" s="49"/>
      <c r="G31" s="49"/>
    </row>
    <row r="32" ht="19.800000000000001" customHeight="1">
      <c r="A32" s="47"/>
      <c r="B32" s="48"/>
      <c r="C32" s="47"/>
      <c r="D32" s="47"/>
      <c r="E32" s="49" t="str">
        <f>IFERROR(INDEX('Item codes'!B23:B283,MATCH(B32,'Item codes'!A23:A283,0)),"")</f>
        <v/>
      </c>
      <c r="F32" s="49"/>
      <c r="G32" s="49"/>
    </row>
    <row r="33" ht="19.800000000000001" customHeight="1">
      <c r="A33" s="47"/>
      <c r="B33" s="48"/>
      <c r="C33" s="47"/>
      <c r="D33" s="47"/>
      <c r="E33" s="49" t="str">
        <f>IFERROR(INDEX('Item codes'!B24:B284,MATCH(B33,'Item codes'!A24:A284,0)),"")</f>
        <v/>
      </c>
      <c r="F33" s="49"/>
      <c r="G33" s="49"/>
    </row>
    <row r="34" ht="12.6" customHeight="1">
      <c r="A34" s="50" t="s">
        <v>42</v>
      </c>
      <c r="B34" s="51"/>
      <c r="C34" s="51"/>
      <c r="D34" s="51"/>
      <c r="E34" s="51"/>
      <c r="F34" s="51"/>
      <c r="G34" s="52"/>
    </row>
    <row r="35" ht="12" customHeight="1">
      <c r="A35" s="53" t="s">
        <v>43</v>
      </c>
      <c r="B35" s="54"/>
      <c r="C35" s="54"/>
      <c r="D35" s="55"/>
      <c r="E35" s="56" t="s">
        <v>44</v>
      </c>
      <c r="F35" s="53" t="s">
        <v>45</v>
      </c>
      <c r="G35" s="55"/>
    </row>
    <row r="36" ht="34.799999999999997" customHeight="1">
      <c r="A36" s="57"/>
      <c r="B36" s="58"/>
      <c r="C36" s="58"/>
      <c r="D36" s="59"/>
      <c r="E36" s="60"/>
      <c r="F36" s="57"/>
      <c r="G36" s="61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4">
    <mergeCell ref="A36:C36"/>
    <mergeCell ref="F36:G36"/>
    <mergeCell ref="A3:B3"/>
    <mergeCell ref="D3:E3"/>
    <mergeCell ref="F3:G3"/>
    <mergeCell ref="A5:B5"/>
    <mergeCell ref="F5:G5"/>
    <mergeCell ref="A6:B6"/>
    <mergeCell ref="F6:G6"/>
    <mergeCell ref="A7:C7"/>
    <mergeCell ref="A8:C8"/>
    <mergeCell ref="A34:G34"/>
    <mergeCell ref="A35:D35"/>
    <mergeCell ref="F35:G35"/>
  </mergeCells>
  <printOptions headings="0" gridLines="0" horizontalCentered="1" verticalCentered="1"/>
  <pageMargins left="0.23622047244094491" right="0.23622047244094491" top="0.74803149606299213" bottom="0.74803149606299213" header="0.31496062992125984" footer="0.31496062992125984"/>
  <pageSetup paperSize="9" scale="100" fitToWidth="1" fitToHeight="1" pageOrder="downThenOver" orientation="portrait" usePrinterDefaults="1" blackAndWhite="0" draft="0" cellComments="none" useFirstPageNumber="0" errors="displayed" horizontalDpi="1200" verticalDpi="12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1" id="{00CC007A-00FE-49F9-B2FB-008200E90098}">
            <xm:f>Control!$E$4=0</xm:f>
            <x14:dxf>
              <fill>
                <patternFill patternType="solid">
                  <fgColor rgb="FFFF9999"/>
                  <bgColor rgb="FFFF9999"/>
                </patternFill>
              </fill>
            </x14:dxf>
          </x14:cfRule>
          <xm:sqref>1:1048576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view="pageBreakPreview" zoomScale="150" workbookViewId="0">
      <selection activeCell="E6" activeCellId="0" sqref="E6"/>
    </sheetView>
  </sheetViews>
  <sheetFormatPr defaultRowHeight="15"/>
  <cols>
    <col customWidth="1" min="1" max="1" style="1" width="6.7265625"/>
    <col min="2" max="3" style="1" width="8.7265625"/>
    <col customWidth="1" min="4" max="4" style="1" width="7.1796875"/>
    <col customWidth="1" min="5" max="5" style="1" width="34.453125"/>
    <col customWidth="1" min="6" max="6" style="1" width="7.1796875"/>
    <col customWidth="1" min="7" max="7" style="1" width="12.7265625"/>
    <col bestFit="1" customWidth="1" min="8" max="8" style="1" width="10.36328125"/>
    <col min="9" max="16384" style="1" width="8.7265625"/>
  </cols>
  <sheetData>
    <row r="1">
      <c r="B1" s="16"/>
      <c r="C1" s="16"/>
      <c r="D1" s="16"/>
      <c r="E1" s="16"/>
      <c r="F1" s="16"/>
      <c r="G1" s="16"/>
      <c r="I1" s="17" t="str">
        <f>TEXT(E6,"000000")&amp;"-"&amp;SUBSTITUTE(SUBSTITUTE(E8,CHAR(34),""),"/",".")&amp;"-"&amp;TEXT(F8,"000")&amp;"-R"&amp;TEXT(G8,"00")</f>
        <v>000932-N142703-L-1-001-R01</v>
      </c>
    </row>
    <row r="2">
      <c r="B2" s="16"/>
      <c r="C2" s="16"/>
      <c r="D2" s="16"/>
      <c r="E2" s="16"/>
      <c r="F2" s="16"/>
      <c r="G2" s="16"/>
    </row>
    <row r="3" ht="15" customHeight="1">
      <c r="A3" s="18"/>
      <c r="B3" s="18"/>
      <c r="C3" s="19"/>
      <c r="D3" s="20" t="s">
        <v>19</v>
      </c>
      <c r="E3" s="20"/>
      <c r="F3" s="18" t="s">
        <v>20</v>
      </c>
      <c r="G3" s="18"/>
    </row>
    <row r="4" ht="8.4000000000000004" customHeight="1">
      <c r="C4" s="16"/>
      <c r="D4" s="16"/>
      <c r="E4" s="16"/>
      <c r="F4" s="16"/>
      <c r="G4" s="16"/>
    </row>
    <row r="5" ht="11.4" customHeight="1">
      <c r="A5" s="21" t="s">
        <v>21</v>
      </c>
      <c r="B5" s="22"/>
      <c r="C5" s="21" t="s">
        <v>22</v>
      </c>
      <c r="D5" s="23" t="s">
        <v>23</v>
      </c>
      <c r="E5" s="23" t="s">
        <v>24</v>
      </c>
      <c r="F5" s="21" t="s">
        <v>25</v>
      </c>
      <c r="G5" s="24"/>
      <c r="H5" s="25" t="s">
        <v>26</v>
      </c>
      <c r="I5" s="62">
        <f>Pipe!I5</f>
        <v>40</v>
      </c>
    </row>
    <row r="6" ht="19.800000000000001" customHeight="1">
      <c r="A6" s="27" t="s">
        <v>9</v>
      </c>
      <c r="B6" s="28"/>
      <c r="C6" s="29" t="str">
        <f>Pipe!C6</f>
        <v>169-</v>
      </c>
      <c r="D6" s="30" t="str">
        <f ca="1">_xlfn.LET( _xlpm.isPipe, _xlfn.SHEET()=2, _xlpm.firstCode, IF(OR(I6="None",I6=""), IF(I5&lt;=90,"2A", IF(I5&lt;=120,"2B", IF(I5&lt;=200,"2C",  IF(I5&lt;=400,"2D",  IF(I5&lt;=650,"2I",""))))), IF(I5&lt;=150,"2E", IF(I5&lt;=650,"2I",""))), _xlpm.secondCode,IF(OR(I6="None",I6=""), IF(I5&lt;=90,"5A",  IF(I5&lt;=200,"5B","2I")),  IF(I5&lt;=150,"5C",  IF(I5&lt;=650,"2I",""))), IF(_xlpm.isPipe,  _xlpm.firstCode,  _xlpm.firstCode&amp;"/"&amp;_xlpm.secondCode))</f>
        <v>2A/5A</v>
      </c>
      <c r="E6" s="31" t="str">
        <f>IF(Control!E5=1,TEXT(Control!E1+Control!E3+Control!E4+1,"000000"), "")</f>
        <v>000932</v>
      </c>
      <c r="F6" s="32"/>
      <c r="G6" s="33"/>
      <c r="H6" s="25" t="s">
        <v>28</v>
      </c>
      <c r="I6" s="62" t="str">
        <f>Pipe!I6</f>
        <v>None</v>
      </c>
    </row>
    <row r="7" ht="12" customHeight="1">
      <c r="A7" s="35" t="s">
        <v>0</v>
      </c>
      <c r="B7" s="36"/>
      <c r="C7" s="37"/>
      <c r="D7" s="38" t="s">
        <v>4</v>
      </c>
      <c r="E7" s="38" t="s">
        <v>29</v>
      </c>
      <c r="F7" s="38" t="s">
        <v>30</v>
      </c>
      <c r="G7" s="38" t="s">
        <v>31</v>
      </c>
    </row>
    <row r="8" ht="19.800000000000001" customHeight="1">
      <c r="A8" s="66" t="str">
        <f>Pipe!A8</f>
        <v xml:space="preserve">AZAC169 - Natref Hybird Project</v>
      </c>
      <c r="B8" s="67">
        <f>Pipe!B8</f>
        <v>0</v>
      </c>
      <c r="C8" s="68">
        <f>Pipe!C8</f>
        <v>0</v>
      </c>
      <c r="D8" s="64" t="str">
        <f>Pipe!D8</f>
        <v>WP1</v>
      </c>
      <c r="E8" s="43" t="str">
        <f>Pipe!E8</f>
        <v>N142703-L-1"</v>
      </c>
      <c r="F8" s="65">
        <f>Pipe!F8</f>
        <v>1</v>
      </c>
      <c r="G8" s="65" t="str">
        <f>Pipe!G8</f>
        <v>01</v>
      </c>
    </row>
    <row r="9" ht="31.800000000000001" customHeight="1">
      <c r="A9" s="44" t="s">
        <v>32</v>
      </c>
      <c r="B9" s="44" t="s">
        <v>33</v>
      </c>
      <c r="C9" s="44" t="s">
        <v>34</v>
      </c>
      <c r="D9" s="44" t="s">
        <v>35</v>
      </c>
      <c r="E9" s="45" t="s">
        <v>36</v>
      </c>
      <c r="F9" s="44" t="s">
        <v>37</v>
      </c>
      <c r="G9" s="44" t="s">
        <v>38</v>
      </c>
    </row>
    <row r="10" s="46" customFormat="1" ht="19.800000000000001" customHeight="1">
      <c r="A10" s="47">
        <v>4</v>
      </c>
      <c r="B10" s="48" t="s">
        <v>49</v>
      </c>
      <c r="C10" s="47" t="s">
        <v>50</v>
      </c>
      <c r="D10" s="47">
        <v>1</v>
      </c>
      <c r="E10" s="49" t="str">
        <f>IFERROR(INDEX('Item codes'!B1:B261,MATCH(B10,'Item codes'!A1:A261,0)),"")</f>
        <v xml:space="preserve">GASKET CL 150 304 SS SP WND GRAF 4.5 MM THK</v>
      </c>
      <c r="F10" s="49"/>
      <c r="G10" s="49"/>
    </row>
    <row r="11" s="46" customFormat="1" ht="19.800000000000001" customHeight="1">
      <c r="A11" s="47">
        <v>5</v>
      </c>
      <c r="B11" s="48" t="s">
        <v>49</v>
      </c>
      <c r="C11" s="47" t="s">
        <v>40</v>
      </c>
      <c r="D11" s="47">
        <v>1</v>
      </c>
      <c r="E11" s="49" t="str">
        <f>IFERROR(INDEX('Item codes'!B2:B262,MATCH(B11,'Item codes'!A2:A262,0)),"")</f>
        <v xml:space="preserve">GASKET CL 150 304 SS SP WND GRAF 4.5 MM THK</v>
      </c>
      <c r="F11" s="49"/>
      <c r="G11" s="49"/>
    </row>
    <row r="12" ht="19.800000000000001" customHeight="1">
      <c r="A12" s="47">
        <v>6</v>
      </c>
      <c r="B12" s="48" t="s">
        <v>51</v>
      </c>
      <c r="C12" s="47" t="s">
        <v>40</v>
      </c>
      <c r="D12" s="47">
        <v>4</v>
      </c>
      <c r="E12" s="49" t="str">
        <f>IFERROR(INDEX('Item codes'!B3:B263,MATCH(B12,'Item codes'!A3:A263,0)),"")</f>
        <v xml:space="preserve">GASKET CL 300 304 SS SP WND GRAF 4.5 MM THK</v>
      </c>
      <c r="F12" s="49"/>
      <c r="G12" s="49"/>
    </row>
    <row r="13" ht="19.800000000000001" customHeight="1">
      <c r="A13" s="47">
        <v>7</v>
      </c>
      <c r="B13" s="48" t="s">
        <v>52</v>
      </c>
      <c r="C13" s="47" t="s">
        <v>53</v>
      </c>
      <c r="D13" s="47">
        <v>16</v>
      </c>
      <c r="E13" s="49" t="str">
        <f>IFERROR(INDEX('Item codes'!B4:B264,MATCH(B13,'Item codes'!A4:A264,0)),"")</f>
        <v xml:space="preserve">STUD BOLT A193 B7 W/A194 GR 2H NUTS</v>
      </c>
      <c r="F13" s="49"/>
      <c r="G13" s="49"/>
    </row>
    <row r="14" ht="19.800000000000001" customHeight="1">
      <c r="A14" s="47">
        <v>8</v>
      </c>
      <c r="B14" s="48" t="s">
        <v>52</v>
      </c>
      <c r="C14" s="47" t="s">
        <v>54</v>
      </c>
      <c r="D14" s="47">
        <v>4</v>
      </c>
      <c r="E14" s="49" t="str">
        <f>IFERROR(INDEX('Item codes'!B5:B265,MATCH(B14,'Item codes'!A5:A265,0)),"")</f>
        <v xml:space="preserve">STUD BOLT A193 B7 W/A194 GR 2H NUTS</v>
      </c>
      <c r="F14" s="49"/>
      <c r="G14" s="49"/>
    </row>
    <row r="15" ht="19.800000000000001" customHeight="1">
      <c r="A15" s="47">
        <v>9</v>
      </c>
      <c r="B15" s="48" t="s">
        <v>55</v>
      </c>
      <c r="C15" s="69" t="s">
        <v>40</v>
      </c>
      <c r="D15" s="47">
        <v>1</v>
      </c>
      <c r="E15" s="49" t="str">
        <f>IFERROR(INDEX('Item codes'!B6:B266,MATCH(B15,'Item codes'!A6:A266,0)),"")</f>
        <v xml:space="preserve">FLANGE BLIND CL 300 RF STL A105</v>
      </c>
      <c r="F15" s="49"/>
      <c r="G15" s="49"/>
    </row>
    <row r="16" ht="19.800000000000001" customHeight="1">
      <c r="A16" s="47">
        <v>10</v>
      </c>
      <c r="B16" s="48" t="s">
        <v>56</v>
      </c>
      <c r="C16" s="47" t="s">
        <v>40</v>
      </c>
      <c r="D16" s="47">
        <v>1</v>
      </c>
      <c r="E16" s="49" t="str">
        <f>IFERROR(INDEX('Item codes'!B7:B267,MATCH(B16,'Item codes'!A7:A267,0)),"")</f>
        <v xml:space="preserve">GATE CL 600 RF STL F6/STEL GRAF BB</v>
      </c>
      <c r="F16" s="49"/>
      <c r="G16" s="49"/>
    </row>
    <row r="17" ht="19.800000000000001" customHeight="1">
      <c r="A17" s="47">
        <v>11</v>
      </c>
      <c r="B17" s="48" t="s">
        <v>57</v>
      </c>
      <c r="C17" s="47" t="s">
        <v>40</v>
      </c>
      <c r="D17" s="48">
        <v>1</v>
      </c>
      <c r="E17" s="49" t="str">
        <f>IFERROR(INDEX('Item codes'!B8:B268,MATCH(B17,'Item codes'!A8:A268,0)),"")</f>
        <v xml:space="preserve">GATE CL 600 RF STL F6/STEL FRAF BB FULL PORT</v>
      </c>
      <c r="F17" s="49"/>
      <c r="G17" s="49"/>
    </row>
    <row r="18" ht="19.800000000000001" customHeight="1">
      <c r="A18" s="47">
        <v>12</v>
      </c>
      <c r="B18" s="48" t="s">
        <v>52</v>
      </c>
      <c r="C18" s="47" t="s">
        <v>58</v>
      </c>
      <c r="D18" s="47" t="s">
        <v>59</v>
      </c>
      <c r="E18" s="49" t="str">
        <f>IFERROR(INDEX('Item codes'!B9:B269,MATCH(B18,'Item codes'!A9:A269,0)),"")</f>
        <v xml:space="preserve">STUD BOLT A193 B7 W/A194 GR 2H NUTS</v>
      </c>
      <c r="F18" s="49"/>
      <c r="G18" s="49"/>
    </row>
    <row r="19" ht="19.800000000000001" customHeight="1">
      <c r="A19" s="47"/>
      <c r="B19" s="48"/>
      <c r="C19" s="47"/>
      <c r="D19" s="47"/>
      <c r="E19" s="49" t="str">
        <f>IFERROR(INDEX('Item codes'!B10:B270,MATCH(B19,'Item codes'!A10:A270,0)),"")</f>
        <v/>
      </c>
      <c r="F19" s="49"/>
      <c r="G19" s="49"/>
    </row>
    <row r="20" ht="19.800000000000001" customHeight="1">
      <c r="A20" s="47"/>
      <c r="B20" s="48"/>
      <c r="C20" s="47"/>
      <c r="D20" s="47"/>
      <c r="E20" s="49" t="str">
        <f>IFERROR(INDEX('Item codes'!B11:B271,MATCH(B20,'Item codes'!A11:A271,0)),"")</f>
        <v/>
      </c>
      <c r="F20" s="49"/>
      <c r="G20" s="49"/>
    </row>
    <row r="21" ht="19.800000000000001" customHeight="1">
      <c r="A21" s="47"/>
      <c r="B21" s="48"/>
      <c r="C21" s="47"/>
      <c r="D21" s="47"/>
      <c r="E21" s="49" t="str">
        <f>IFERROR(INDEX('Item codes'!B12:B272,MATCH(B21,'Item codes'!A12:A272,0)),"")</f>
        <v/>
      </c>
      <c r="F21" s="49"/>
      <c r="G21" s="49"/>
    </row>
    <row r="22" ht="19.800000000000001" customHeight="1">
      <c r="A22" s="47"/>
      <c r="B22" s="48"/>
      <c r="C22" s="47"/>
      <c r="D22" s="47"/>
      <c r="E22" s="49" t="str">
        <f>IFERROR(INDEX('Item codes'!B13:B273,MATCH(B22,'Item codes'!A13:A273,0)),"")</f>
        <v/>
      </c>
      <c r="F22" s="49"/>
      <c r="G22" s="49"/>
    </row>
    <row r="23" ht="19.800000000000001" customHeight="1">
      <c r="A23" s="47"/>
      <c r="B23" s="48"/>
      <c r="C23" s="47"/>
      <c r="D23" s="47"/>
      <c r="E23" s="49" t="str">
        <f>IFERROR(INDEX('Item codes'!B14:B274,MATCH(B23,'Item codes'!A14:A274,0)),"")</f>
        <v/>
      </c>
      <c r="F23" s="49"/>
      <c r="G23" s="49"/>
    </row>
    <row r="24" ht="19.800000000000001" customHeight="1">
      <c r="A24" s="47"/>
      <c r="B24" s="48"/>
      <c r="C24" s="47"/>
      <c r="D24" s="47"/>
      <c r="E24" s="49" t="str">
        <f>IFERROR(INDEX('Item codes'!B15:B275,MATCH(B24,'Item codes'!A15:A275,0)),"")</f>
        <v/>
      </c>
      <c r="F24" s="49"/>
      <c r="G24" s="49"/>
    </row>
    <row r="25" ht="19.800000000000001" customHeight="1">
      <c r="A25" s="47"/>
      <c r="B25" s="48"/>
      <c r="C25" s="47"/>
      <c r="D25" s="47"/>
      <c r="E25" s="49" t="str">
        <f>IFERROR(INDEX('Item codes'!B16:B276,MATCH(B25,'Item codes'!A16:A276,0)),"")</f>
        <v/>
      </c>
      <c r="F25" s="49"/>
      <c r="G25" s="49"/>
    </row>
    <row r="26" ht="19.800000000000001" customHeight="1">
      <c r="A26" s="47"/>
      <c r="B26" s="48"/>
      <c r="C26" s="47"/>
      <c r="D26" s="47"/>
      <c r="E26" s="49" t="str">
        <f>IFERROR(INDEX('Item codes'!B17:B277,MATCH(B26,'Item codes'!A17:A277,0)),"")</f>
        <v/>
      </c>
      <c r="F26" s="49"/>
      <c r="G26" s="49"/>
    </row>
    <row r="27" ht="19.800000000000001" customHeight="1">
      <c r="A27" s="47"/>
      <c r="B27" s="48"/>
      <c r="C27" s="47"/>
      <c r="D27" s="47"/>
      <c r="E27" s="49" t="str">
        <f>IFERROR(INDEX('Item codes'!B18:B278,MATCH(B27,'Item codes'!A18:A278,0)),"")</f>
        <v/>
      </c>
      <c r="F27" s="49"/>
      <c r="G27" s="49"/>
    </row>
    <row r="28" ht="19.800000000000001" customHeight="1">
      <c r="A28" s="47"/>
      <c r="B28" s="48"/>
      <c r="C28" s="47"/>
      <c r="D28" s="47"/>
      <c r="E28" s="49" t="str">
        <f>IFERROR(INDEX('Item codes'!B19:B279,MATCH(B28,'Item codes'!A19:A279,0)),"")</f>
        <v/>
      </c>
      <c r="F28" s="49"/>
      <c r="G28" s="49"/>
    </row>
    <row r="29" ht="19.800000000000001" customHeight="1">
      <c r="A29" s="47"/>
      <c r="B29" s="48"/>
      <c r="C29" s="47"/>
      <c r="D29" s="47"/>
      <c r="E29" s="49" t="str">
        <f>IFERROR(INDEX('Item codes'!B20:B280,MATCH(B29,'Item codes'!A20:A280,0)),"")</f>
        <v/>
      </c>
      <c r="F29" s="49"/>
      <c r="G29" s="49"/>
    </row>
    <row r="30" ht="19.800000000000001" customHeight="1">
      <c r="A30" s="47"/>
      <c r="B30" s="48"/>
      <c r="C30" s="47"/>
      <c r="D30" s="47"/>
      <c r="E30" s="49" t="str">
        <f>IFERROR(INDEX('Item codes'!B21:B281,MATCH(B30,'Item codes'!A21:A281,0)),"")</f>
        <v/>
      </c>
      <c r="F30" s="49"/>
      <c r="G30" s="49"/>
    </row>
    <row r="31" ht="19.800000000000001" customHeight="1">
      <c r="A31" s="47"/>
      <c r="B31" s="48"/>
      <c r="C31" s="47"/>
      <c r="D31" s="47"/>
      <c r="E31" s="49" t="str">
        <f>IFERROR(INDEX('Item codes'!B22:B282,MATCH(B31,'Item codes'!A22:A282,0)),"")</f>
        <v/>
      </c>
      <c r="F31" s="49"/>
      <c r="G31" s="49"/>
    </row>
    <row r="32" ht="19.800000000000001" customHeight="1">
      <c r="A32" s="47"/>
      <c r="B32" s="48"/>
      <c r="C32" s="47"/>
      <c r="D32" s="47"/>
      <c r="E32" s="49" t="str">
        <f>IFERROR(INDEX('Item codes'!B23:B283,MATCH(B32,'Item codes'!A23:A283,0)),"")</f>
        <v/>
      </c>
      <c r="F32" s="49"/>
      <c r="G32" s="49"/>
    </row>
    <row r="33" ht="19.800000000000001" customHeight="1">
      <c r="A33" s="47"/>
      <c r="B33" s="48"/>
      <c r="C33" s="47"/>
      <c r="D33" s="47"/>
      <c r="E33" s="49" t="str">
        <f>IFERROR(INDEX('Item codes'!B24:B284,MATCH(B33,'Item codes'!A24:A284,0)),"")</f>
        <v/>
      </c>
      <c r="F33" s="49"/>
      <c r="G33" s="49"/>
    </row>
    <row r="34" ht="12.6" customHeight="1">
      <c r="A34" s="50" t="s">
        <v>42</v>
      </c>
      <c r="B34" s="51"/>
      <c r="C34" s="51"/>
      <c r="D34" s="51"/>
      <c r="E34" s="51"/>
      <c r="F34" s="51"/>
      <c r="G34" s="52"/>
    </row>
    <row r="35" ht="12" customHeight="1">
      <c r="A35" s="53" t="s">
        <v>43</v>
      </c>
      <c r="B35" s="54"/>
      <c r="C35" s="54"/>
      <c r="D35" s="55"/>
      <c r="E35" s="56" t="s">
        <v>44</v>
      </c>
      <c r="F35" s="53" t="s">
        <v>45</v>
      </c>
      <c r="G35" s="55"/>
    </row>
    <row r="36" ht="34.799999999999997" customHeight="1">
      <c r="A36" s="57"/>
      <c r="B36" s="58"/>
      <c r="C36" s="58"/>
      <c r="D36" s="59"/>
      <c r="E36" s="60"/>
      <c r="F36" s="57"/>
      <c r="G36" s="61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4">
    <mergeCell ref="A3:B3"/>
    <mergeCell ref="D3:E3"/>
    <mergeCell ref="F3:G3"/>
    <mergeCell ref="A5:B5"/>
    <mergeCell ref="F5:G5"/>
    <mergeCell ref="A6:B6"/>
    <mergeCell ref="F6:G6"/>
    <mergeCell ref="A7:C7"/>
    <mergeCell ref="A8:C8"/>
    <mergeCell ref="A34:G34"/>
    <mergeCell ref="A35:D35"/>
    <mergeCell ref="F35:G35"/>
    <mergeCell ref="A36:C36"/>
    <mergeCell ref="F36:G36"/>
  </mergeCells>
  <printOptions headings="0" gridLines="0" horizontalCentered="1" verticalCentered="1"/>
  <pageMargins left="0.25" right="0.25" top="0.75" bottom="0.75" header="0.29999999999999999" footer="0.29999999999999999"/>
  <pageSetup paperSize="9" scale="96" fitToWidth="1" fitToHeight="1" pageOrder="downThenOver" orientation="portrait" usePrinterDefaults="1" blackAndWhite="0" draft="0" cellComments="none" useFirstPageNumber="0" errors="displayed" horizontalDpi="1200" verticalDpi="12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2" id="{005E00C5-0061-41B6-84DD-001000950054}">
            <xm:f>Control!$E$5=0</xm:f>
            <x14:dxf>
              <fill>
                <patternFill patternType="solid">
                  <fgColor rgb="FFFF9999"/>
                  <bgColor rgb="FFFF9999"/>
                </patternFill>
              </fill>
            </x14:dxf>
          </x14:cfRule>
          <xm:sqref>1:1048576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50" workbookViewId="0">
      <selection activeCell="E6" activeCellId="0" sqref="E6"/>
    </sheetView>
  </sheetViews>
  <sheetFormatPr defaultRowHeight="15"/>
  <cols>
    <col customWidth="1" min="1" max="1" style="1" width="6.7265625"/>
    <col min="2" max="3" style="1" width="8.7265625"/>
    <col customWidth="1" min="4" max="4" style="1" width="7.1796875"/>
    <col customWidth="1" min="5" max="5" style="1" width="34.453125"/>
    <col customWidth="1" min="6" max="6" style="1" width="7.1796875"/>
    <col customWidth="1" min="7" max="7" style="1" width="12.7265625"/>
    <col min="8" max="16384" style="1" width="8.7265625"/>
  </cols>
  <sheetData>
    <row r="1">
      <c r="B1" s="16"/>
      <c r="C1" s="16"/>
      <c r="D1" s="16"/>
      <c r="E1" s="16"/>
      <c r="F1" s="16"/>
      <c r="G1" s="16"/>
      <c r="I1" s="17" t="str">
        <f>TEXT(E6,"000000")&amp;"-"&amp;SUBSTITUTE(SUBSTITUTE(E8,CHAR(34),""),"/",".")&amp;"-"&amp;TEXT(F8,"000")&amp;"-R"&amp;TEXT(G8,"00")</f>
        <v>000933-N142703-L-1-001-R01</v>
      </c>
    </row>
    <row r="2">
      <c r="B2" s="16"/>
      <c r="C2" s="16"/>
      <c r="D2" s="16"/>
      <c r="E2" s="16"/>
      <c r="F2" s="16"/>
      <c r="G2" s="16"/>
    </row>
    <row r="3" ht="15" customHeight="1">
      <c r="A3" s="18"/>
      <c r="B3" s="18"/>
      <c r="C3" s="19"/>
      <c r="D3" s="20" t="s">
        <v>19</v>
      </c>
      <c r="E3" s="20"/>
      <c r="F3" s="18" t="s">
        <v>20</v>
      </c>
      <c r="G3" s="18"/>
    </row>
    <row r="4" ht="8.4000000000000004" customHeight="1">
      <c r="C4" s="16"/>
      <c r="D4" s="16"/>
      <c r="E4" s="16"/>
      <c r="F4" s="16"/>
      <c r="G4" s="16"/>
    </row>
    <row r="5" ht="11.4" customHeight="1">
      <c r="A5" s="21" t="s">
        <v>21</v>
      </c>
      <c r="B5" s="22"/>
      <c r="C5" s="21" t="s">
        <v>22</v>
      </c>
      <c r="D5" s="23" t="s">
        <v>23</v>
      </c>
      <c r="E5" s="23" t="s">
        <v>24</v>
      </c>
      <c r="F5" s="21" t="s">
        <v>25</v>
      </c>
      <c r="G5" s="24"/>
    </row>
    <row r="6" ht="19.800000000000001" customHeight="1">
      <c r="A6" s="27" t="s">
        <v>60</v>
      </c>
      <c r="B6" s="28"/>
      <c r="C6" s="29" t="str">
        <f>Pipe!C6</f>
        <v>169-</v>
      </c>
      <c r="D6" s="30" t="s">
        <v>61</v>
      </c>
      <c r="E6" s="31" t="str">
        <f>IF(Control!E6=1,TEXT(Control!E1+Control!E3+Control!E4+Control!E5+1,"000000"), "")</f>
        <v>000933</v>
      </c>
      <c r="F6" s="32"/>
      <c r="G6" s="33"/>
    </row>
    <row r="7" ht="12" customHeight="1">
      <c r="A7" s="35" t="s">
        <v>0</v>
      </c>
      <c r="B7" s="36"/>
      <c r="C7" s="37"/>
      <c r="D7" s="38" t="s">
        <v>4</v>
      </c>
      <c r="E7" s="38" t="s">
        <v>29</v>
      </c>
      <c r="F7" s="38" t="s">
        <v>30</v>
      </c>
      <c r="G7" s="38" t="s">
        <v>31</v>
      </c>
    </row>
    <row r="8" ht="19.800000000000001" customHeight="1">
      <c r="A8" s="40" t="str">
        <f>Pipe!A8</f>
        <v xml:space="preserve">AZAC169 - Natref Hybird Project</v>
      </c>
      <c r="B8" s="41">
        <f>Pipe!B8</f>
        <v>0</v>
      </c>
      <c r="C8" s="42">
        <f>Pipe!C8</f>
        <v>0</v>
      </c>
      <c r="D8" s="64" t="str">
        <f>Pipe!D8</f>
        <v>WP1</v>
      </c>
      <c r="E8" s="43" t="str">
        <f>Pipe!E8</f>
        <v>N142703-L-1"</v>
      </c>
      <c r="F8" s="65">
        <f>Pipe!F8</f>
        <v>1</v>
      </c>
      <c r="G8" s="65" t="str">
        <f>Pipe!G8</f>
        <v>01</v>
      </c>
    </row>
    <row r="9" ht="31.800000000000001" customHeight="1">
      <c r="A9" s="44" t="s">
        <v>32</v>
      </c>
      <c r="B9" s="44" t="s">
        <v>33</v>
      </c>
      <c r="C9" s="44" t="s">
        <v>34</v>
      </c>
      <c r="D9" s="44" t="s">
        <v>35</v>
      </c>
      <c r="E9" s="45" t="s">
        <v>36</v>
      </c>
      <c r="F9" s="44" t="s">
        <v>37</v>
      </c>
      <c r="G9" s="44" t="s">
        <v>38</v>
      </c>
    </row>
    <row r="10" s="46" customFormat="1" ht="19.800000000000001" customHeight="1">
      <c r="A10" s="47">
        <v>4</v>
      </c>
      <c r="B10" s="48" t="s">
        <v>62</v>
      </c>
      <c r="C10" s="47" t="s">
        <v>63</v>
      </c>
      <c r="D10" s="47">
        <v>2</v>
      </c>
      <c r="E10" s="49" t="str">
        <f>IFERROR(INDEX('Item codes'!B1:B261,MATCH(B10,'Item codes'!A1:A261,0)),"")</f>
        <v xml:space="preserve">G2 (GUIDE)</v>
      </c>
      <c r="F10" s="49"/>
      <c r="G10" s="49"/>
    </row>
    <row r="11" s="46" customFormat="1" ht="19.800000000000001" customHeight="1">
      <c r="A11" s="47"/>
      <c r="B11" s="48"/>
      <c r="C11" s="69"/>
      <c r="D11" s="47"/>
      <c r="E11" s="49" t="str">
        <f>IFERROR(INDEX('Item codes'!B2:B262,MATCH(B11,'Item codes'!A2:A262,0)),"")</f>
        <v/>
      </c>
      <c r="F11" s="49"/>
      <c r="G11" s="49"/>
    </row>
    <row r="12" ht="19.800000000000001" customHeight="1">
      <c r="A12" s="47"/>
      <c r="B12" s="48"/>
      <c r="C12" s="69"/>
      <c r="D12" s="47"/>
      <c r="E12" s="49" t="str">
        <f>IFERROR(INDEX('Item codes'!B3:B263,MATCH(B12,'Item codes'!A3:A263,0)),"")</f>
        <v/>
      </c>
      <c r="F12" s="49"/>
      <c r="G12" s="49"/>
    </row>
    <row r="13" ht="19.800000000000001" customHeight="1">
      <c r="A13" s="47"/>
      <c r="B13" s="48"/>
      <c r="C13" s="69"/>
      <c r="D13" s="47"/>
      <c r="E13" s="49" t="str">
        <f>IFERROR(INDEX('Item codes'!B4:B264,MATCH(B13,'Item codes'!A4:A264,0)),"")</f>
        <v/>
      </c>
      <c r="F13" s="49"/>
      <c r="G13" s="49"/>
    </row>
    <row r="14" ht="19.800000000000001" customHeight="1">
      <c r="A14" s="47"/>
      <c r="B14" s="48"/>
      <c r="C14" s="47"/>
      <c r="D14" s="47"/>
      <c r="E14" s="49" t="str">
        <f>IFERROR(INDEX('Item codes'!B5:B265,MATCH(B14,'Item codes'!A5:A265,0)),"")</f>
        <v/>
      </c>
      <c r="F14" s="49"/>
      <c r="G14" s="49"/>
    </row>
    <row r="15" ht="19.800000000000001" customHeight="1">
      <c r="A15" s="47"/>
      <c r="B15" s="48"/>
      <c r="C15" s="47"/>
      <c r="D15" s="47"/>
      <c r="E15" s="49" t="str">
        <f>IFERROR(INDEX('Item codes'!B6:B266,MATCH(B15,'Item codes'!A6:A266,0)),"")</f>
        <v/>
      </c>
      <c r="F15" s="49"/>
      <c r="G15" s="49"/>
    </row>
    <row r="16" ht="19.800000000000001" customHeight="1">
      <c r="A16" s="47"/>
      <c r="B16" s="48"/>
      <c r="C16" s="47"/>
      <c r="D16" s="47"/>
      <c r="E16" s="49" t="str">
        <f>IFERROR(INDEX('Item codes'!B7:B267,MATCH(B16,'Item codes'!A7:A267,0)),"")</f>
        <v/>
      </c>
      <c r="F16" s="49"/>
      <c r="G16" s="49"/>
    </row>
    <row r="17" ht="19.800000000000001" customHeight="1">
      <c r="A17" s="47"/>
      <c r="B17" s="48"/>
      <c r="C17" s="47"/>
      <c r="D17" s="47"/>
      <c r="E17" s="49" t="str">
        <f>IFERROR(INDEX('Item codes'!B8:B268,MATCH(B17,'Item codes'!A8:A268,0)),"")</f>
        <v/>
      </c>
      <c r="F17" s="49"/>
      <c r="G17" s="49"/>
    </row>
    <row r="18" ht="19.800000000000001" customHeight="1">
      <c r="A18" s="47"/>
      <c r="B18" s="48"/>
      <c r="C18" s="47"/>
      <c r="D18" s="47"/>
      <c r="E18" s="49" t="str">
        <f>IFERROR(INDEX('Item codes'!B9:B269,MATCH(B18,'Item codes'!A9:A269,0)),"")</f>
        <v/>
      </c>
      <c r="F18" s="49"/>
      <c r="G18" s="49"/>
    </row>
    <row r="19" ht="19.800000000000001" customHeight="1">
      <c r="A19" s="47"/>
      <c r="B19" s="48"/>
      <c r="C19" s="47"/>
      <c r="D19" s="47"/>
      <c r="E19" s="49" t="str">
        <f>IFERROR(INDEX('Item codes'!B10:B270,MATCH(B19,'Item codes'!A10:A270,0)),"")</f>
        <v/>
      </c>
      <c r="F19" s="49"/>
      <c r="G19" s="49"/>
    </row>
    <row r="20" ht="19.800000000000001" customHeight="1">
      <c r="A20" s="47"/>
      <c r="B20" s="48"/>
      <c r="C20" s="47"/>
      <c r="D20" s="47"/>
      <c r="E20" s="49" t="str">
        <f>IFERROR(INDEX('Item codes'!B11:B271,MATCH(B20,'Item codes'!A11:A271,0)),"")</f>
        <v/>
      </c>
      <c r="F20" s="49"/>
      <c r="G20" s="49"/>
    </row>
    <row r="21" ht="19.800000000000001" customHeight="1">
      <c r="A21" s="47"/>
      <c r="B21" s="48"/>
      <c r="C21" s="47"/>
      <c r="D21" s="47"/>
      <c r="E21" s="49" t="str">
        <f>IFERROR(INDEX('Item codes'!B12:B272,MATCH(B21,'Item codes'!A12:A272,0)),"")</f>
        <v/>
      </c>
      <c r="F21" s="49"/>
      <c r="G21" s="49"/>
    </row>
    <row r="22" ht="19.800000000000001" customHeight="1">
      <c r="A22" s="47"/>
      <c r="B22" s="48"/>
      <c r="C22" s="47"/>
      <c r="D22" s="47"/>
      <c r="E22" s="49" t="str">
        <f>IFERROR(INDEX('Item codes'!B13:B273,MATCH(B22,'Item codes'!A13:A273,0)),"")</f>
        <v/>
      </c>
      <c r="F22" s="49"/>
      <c r="G22" s="49"/>
    </row>
    <row r="23" ht="19.800000000000001" customHeight="1">
      <c r="A23" s="47"/>
      <c r="B23" s="48"/>
      <c r="C23" s="47"/>
      <c r="D23" s="47"/>
      <c r="E23" s="49" t="str">
        <f>IFERROR(INDEX('Item codes'!B14:B274,MATCH(B23,'Item codes'!A14:A274,0)),"")</f>
        <v/>
      </c>
      <c r="F23" s="49"/>
      <c r="G23" s="49"/>
    </row>
    <row r="24" ht="19.800000000000001" customHeight="1">
      <c r="A24" s="47"/>
      <c r="B24" s="48"/>
      <c r="C24" s="47"/>
      <c r="D24" s="47"/>
      <c r="E24" s="49" t="str">
        <f>IFERROR(INDEX('Item codes'!B15:B275,MATCH(B24,'Item codes'!A15:A275,0)),"")</f>
        <v/>
      </c>
      <c r="F24" s="49"/>
      <c r="G24" s="49"/>
    </row>
    <row r="25" ht="19.800000000000001" customHeight="1">
      <c r="A25" s="47"/>
      <c r="B25" s="48"/>
      <c r="C25" s="47"/>
      <c r="D25" s="47"/>
      <c r="E25" s="49" t="str">
        <f>IFERROR(INDEX('Item codes'!B16:B276,MATCH(B25,'Item codes'!A16:A276,0)),"")</f>
        <v/>
      </c>
      <c r="F25" s="49"/>
      <c r="G25" s="49"/>
    </row>
    <row r="26" ht="19.800000000000001" customHeight="1">
      <c r="A26" s="47"/>
      <c r="B26" s="48"/>
      <c r="C26" s="47"/>
      <c r="D26" s="47"/>
      <c r="E26" s="49" t="str">
        <f>IFERROR(INDEX('Item codes'!B17:B277,MATCH(B26,'Item codes'!A17:A277,0)),"")</f>
        <v/>
      </c>
      <c r="F26" s="49"/>
      <c r="G26" s="49"/>
    </row>
    <row r="27" ht="19.800000000000001" customHeight="1">
      <c r="A27" s="47"/>
      <c r="B27" s="48"/>
      <c r="C27" s="47"/>
      <c r="D27" s="47"/>
      <c r="E27" s="49" t="str">
        <f>IFERROR(INDEX('Item codes'!B18:B278,MATCH(B27,'Item codes'!A18:A278,0)),"")</f>
        <v/>
      </c>
      <c r="F27" s="49"/>
      <c r="G27" s="49"/>
    </row>
    <row r="28" ht="19.800000000000001" customHeight="1">
      <c r="A28" s="47"/>
      <c r="B28" s="48"/>
      <c r="C28" s="47"/>
      <c r="D28" s="47"/>
      <c r="E28" s="49" t="str">
        <f>IFERROR(INDEX('Item codes'!B19:B279,MATCH(B28,'Item codes'!A19:A279,0)),"")</f>
        <v/>
      </c>
      <c r="F28" s="49"/>
      <c r="G28" s="49"/>
    </row>
    <row r="29" ht="19.800000000000001" customHeight="1">
      <c r="A29" s="47"/>
      <c r="B29" s="48"/>
      <c r="C29" s="47"/>
      <c r="D29" s="47"/>
      <c r="E29" s="49" t="str">
        <f>IFERROR(INDEX('Item codes'!B20:B280,MATCH(B29,'Item codes'!A20:A280,0)),"")</f>
        <v/>
      </c>
      <c r="F29" s="49"/>
      <c r="G29" s="49"/>
    </row>
    <row r="30" ht="19.800000000000001" customHeight="1">
      <c r="A30" s="47"/>
      <c r="B30" s="48"/>
      <c r="C30" s="47"/>
      <c r="D30" s="47"/>
      <c r="E30" s="49" t="str">
        <f>IFERROR(INDEX('Item codes'!B21:B281,MATCH(B30,'Item codes'!A21:A281,0)),"")</f>
        <v/>
      </c>
      <c r="F30" s="49"/>
      <c r="G30" s="49"/>
    </row>
    <row r="31" ht="19.800000000000001" customHeight="1">
      <c r="A31" s="47"/>
      <c r="B31" s="48"/>
      <c r="C31" s="47"/>
      <c r="D31" s="47"/>
      <c r="E31" s="49" t="str">
        <f>IFERROR(INDEX('Item codes'!B22:B282,MATCH(B31,'Item codes'!A22:A282,0)),"")</f>
        <v/>
      </c>
      <c r="F31" s="49"/>
      <c r="G31" s="49"/>
    </row>
    <row r="32" ht="19.800000000000001" customHeight="1">
      <c r="A32" s="47"/>
      <c r="B32" s="48"/>
      <c r="C32" s="47"/>
      <c r="D32" s="47"/>
      <c r="E32" s="49" t="str">
        <f>IFERROR(INDEX('Item codes'!B23:B283,MATCH(B32,'Item codes'!A23:A283,0)),"")</f>
        <v/>
      </c>
      <c r="F32" s="49"/>
      <c r="G32" s="49"/>
    </row>
    <row r="33" ht="19.800000000000001" customHeight="1">
      <c r="A33" s="47"/>
      <c r="B33" s="48"/>
      <c r="C33" s="47"/>
      <c r="D33" s="47"/>
      <c r="E33" s="49" t="str">
        <f>IFERROR(INDEX('Item codes'!B24:B284,MATCH(B33,'Item codes'!A24:A284,0)),"")</f>
        <v/>
      </c>
      <c r="F33" s="49"/>
      <c r="G33" s="49"/>
    </row>
    <row r="34" ht="12.6" customHeight="1">
      <c r="A34" s="50" t="s">
        <v>42</v>
      </c>
      <c r="B34" s="51"/>
      <c r="C34" s="51"/>
      <c r="D34" s="51"/>
      <c r="E34" s="51"/>
      <c r="F34" s="51"/>
      <c r="G34" s="52"/>
    </row>
    <row r="35" ht="12" customHeight="1">
      <c r="A35" s="53" t="s">
        <v>43</v>
      </c>
      <c r="B35" s="54"/>
      <c r="C35" s="54"/>
      <c r="D35" s="55"/>
      <c r="E35" s="56" t="s">
        <v>44</v>
      </c>
      <c r="F35" s="53" t="s">
        <v>45</v>
      </c>
      <c r="G35" s="55"/>
    </row>
    <row r="36" ht="34.799999999999997" customHeight="1">
      <c r="A36" s="57"/>
      <c r="B36" s="58"/>
      <c r="C36" s="58"/>
      <c r="D36" s="59"/>
      <c r="E36" s="60"/>
      <c r="F36" s="57"/>
      <c r="G36" s="61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4">
    <mergeCell ref="A3:B3"/>
    <mergeCell ref="D3:E3"/>
    <mergeCell ref="F3:G3"/>
    <mergeCell ref="A5:B5"/>
    <mergeCell ref="F5:G5"/>
    <mergeCell ref="A6:B6"/>
    <mergeCell ref="F6:G6"/>
    <mergeCell ref="A7:C7"/>
    <mergeCell ref="A8:C8"/>
    <mergeCell ref="A34:G34"/>
    <mergeCell ref="A35:D35"/>
    <mergeCell ref="F35:G35"/>
    <mergeCell ref="A36:C36"/>
    <mergeCell ref="F36:G36"/>
  </mergeCells>
  <printOptions headings="0" gridLines="0" horizontalCentered="1" verticalCentered="1"/>
  <pageMargins left="0.23622047244094491" right="0.23622047244094491" top="0.74803149606299213" bottom="0.74803149606299213" header="0.31496062992125984" footer="0.31496062992125984"/>
  <pageSetup paperSize="9" scale="100" fitToWidth="1" fitToHeight="1" pageOrder="downThenOver" orientation="portrait" usePrinterDefaults="1" blackAndWhite="0" draft="0" cellComments="none" useFirstPageNumber="0" errors="displayed" horizontalDpi="1200" verticalDpi="12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" id="{00AC00C1-0077-41A7-95EB-00F200BD0082}">
            <xm:f>Control!$E$6=0</xm:f>
            <x14:dxf>
              <fill>
                <patternFill patternType="solid">
                  <fgColor rgb="FFFF9999"/>
                  <bgColor rgb="FFFF9999"/>
                </patternFill>
              </fill>
            </x14:dxf>
          </x14:cfRule>
          <xm:sqref>1:1048576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50" workbookViewId="0">
      <selection activeCell="H5" activeCellId="0" sqref="H5"/>
    </sheetView>
  </sheetViews>
  <sheetFormatPr defaultRowHeight="15"/>
  <cols>
    <col customWidth="1" min="1" max="1" style="1" width="6.7265625"/>
    <col min="2" max="3" style="1" width="8.7265625"/>
    <col customWidth="1" min="4" max="4" style="1" width="7.1796875"/>
    <col customWidth="1" min="5" max="5" style="1" width="34.453125"/>
    <col customWidth="1" min="6" max="6" style="1" width="7.1796875"/>
    <col customWidth="1" min="7" max="7" style="1" width="12.7265625"/>
    <col bestFit="1" customWidth="1" min="8" max="8" style="1" width="10.36328125"/>
    <col min="9" max="16384" style="1" width="8.7265625"/>
  </cols>
  <sheetData>
    <row r="1">
      <c r="B1" s="16"/>
      <c r="C1" s="16"/>
      <c r="D1" s="16"/>
      <c r="E1" s="16"/>
      <c r="F1" s="16"/>
      <c r="G1" s="16"/>
      <c r="I1" s="17" t="str">
        <f>TEXT(E6,"000000")&amp;"-"&amp;SUBSTITUTE(SUBSTITUTE(E8,CHAR(34),""),"/",".")&amp;"-"&amp;TEXT(F8,"000")&amp;"-R"&amp;TEXT(G8,"00")</f>
        <v>000437-N142641-CZC-1-001-R01</v>
      </c>
    </row>
    <row r="2">
      <c r="B2" s="16"/>
      <c r="C2" s="16"/>
      <c r="D2" s="16"/>
      <c r="E2" s="16"/>
      <c r="F2" s="16"/>
      <c r="G2" s="16"/>
    </row>
    <row r="3" ht="15" customHeight="1">
      <c r="A3" s="18"/>
      <c r="B3" s="18"/>
      <c r="C3" s="19"/>
      <c r="D3" s="20" t="s">
        <v>19</v>
      </c>
      <c r="E3" s="20"/>
      <c r="F3" s="18" t="s">
        <v>20</v>
      </c>
      <c r="G3" s="18"/>
    </row>
    <row r="4" ht="8.4000000000000004" customHeight="1">
      <c r="C4" s="16"/>
      <c r="D4" s="16"/>
      <c r="E4" s="16"/>
      <c r="F4" s="16"/>
      <c r="G4" s="16"/>
    </row>
    <row r="5" ht="11.4" customHeight="1">
      <c r="A5" s="21" t="s">
        <v>21</v>
      </c>
      <c r="B5" s="22"/>
      <c r="C5" s="21" t="s">
        <v>22</v>
      </c>
      <c r="D5" s="23" t="s">
        <v>23</v>
      </c>
      <c r="E5" s="23" t="s">
        <v>24</v>
      </c>
      <c r="F5" s="21" t="s">
        <v>25</v>
      </c>
      <c r="G5" s="24"/>
      <c r="H5" s="25" t="s">
        <v>26</v>
      </c>
      <c r="I5" s="26">
        <v>44</v>
      </c>
    </row>
    <row r="6" ht="19.800000000000001" customHeight="1">
      <c r="A6" s="27" t="s">
        <v>27</v>
      </c>
      <c r="B6" s="28"/>
      <c r="C6" s="70" t="s">
        <v>64</v>
      </c>
      <c r="D6" s="30" t="str">
        <f ca="1">_xlfn.LET(_xlpm.isPipe, _xlfn.SHEET()=1, _xlpm.firstCode, IF(OR(I6="None",I6=""), IF(I5&lt;=90,"2A", IF(I5&lt;=120,"2B", IF(I5&lt;=200,"2C",  IF(I5&lt;=400,"2D", IF(I5&lt;=650,"2I",""))))), IF(I5&lt;=150,"2E", IF(I5&lt;=650,"2I",""))), _xlpm.secondCode, IF(OR(I6="None",I6=""), IF(I5&lt;=90,"5A", IF(I5&lt;=200,"5B","")), IF(I5&lt;=150,"5C", IF(I5&lt;=650,"2I",""))), IF(_xlpm.isPipe, _xlpm.firstCode, _xlpm.firstCode&amp;"/"&amp;_xlpm.secondCode))</f>
        <v>2A/5A</v>
      </c>
      <c r="E6" s="71" t="s">
        <v>65</v>
      </c>
      <c r="F6" s="72"/>
      <c r="G6" s="73"/>
      <c r="H6" s="25" t="s">
        <v>28</v>
      </c>
      <c r="I6" s="34" t="s">
        <v>13</v>
      </c>
    </row>
    <row r="7" ht="12" customHeight="1">
      <c r="A7" s="35" t="s">
        <v>0</v>
      </c>
      <c r="B7" s="36"/>
      <c r="C7" s="37"/>
      <c r="D7" s="38" t="s">
        <v>4</v>
      </c>
      <c r="E7" s="38" t="s">
        <v>66</v>
      </c>
      <c r="F7" s="38" t="s">
        <v>30</v>
      </c>
      <c r="G7" s="38" t="s">
        <v>31</v>
      </c>
      <c r="H7" s="39"/>
    </row>
    <row r="8" ht="19.800000000000001" customHeight="1">
      <c r="A8" s="74" t="s">
        <v>1</v>
      </c>
      <c r="B8" s="75"/>
      <c r="C8" s="76"/>
      <c r="D8" s="71" t="s">
        <v>5</v>
      </c>
      <c r="E8" s="77" t="s">
        <v>67</v>
      </c>
      <c r="F8" s="78" t="s">
        <v>68</v>
      </c>
      <c r="G8" s="78" t="s">
        <v>68</v>
      </c>
    </row>
    <row r="9" ht="31.800000000000001" customHeight="1">
      <c r="A9" s="44" t="s">
        <v>32</v>
      </c>
      <c r="B9" s="44" t="s">
        <v>33</v>
      </c>
      <c r="C9" s="44" t="s">
        <v>34</v>
      </c>
      <c r="D9" s="44" t="s">
        <v>35</v>
      </c>
      <c r="E9" s="45" t="s">
        <v>36</v>
      </c>
      <c r="F9" s="44" t="s">
        <v>37</v>
      </c>
      <c r="G9" s="44" t="s">
        <v>38</v>
      </c>
    </row>
    <row r="10" s="46" customFormat="1" ht="19.800000000000001" customHeight="1">
      <c r="A10" s="47">
        <v>1</v>
      </c>
      <c r="B10" s="48" t="s">
        <v>39</v>
      </c>
      <c r="C10" s="47" t="s">
        <v>40</v>
      </c>
      <c r="D10" s="47" t="s">
        <v>69</v>
      </c>
      <c r="E10" s="47" t="str">
        <f>IFERROR(INDEX('Item codes'!B1:B261,MATCH(B10,'Item codes'!A1:A261,0)),"")</f>
        <v xml:space="preserve">PIPE SCH 80 SMLS STL A106 B</v>
      </c>
      <c r="F10" s="47"/>
      <c r="G10" s="47"/>
    </row>
    <row r="11" s="46" customFormat="1" ht="19.800000000000001" customHeight="1">
      <c r="A11" s="47"/>
      <c r="B11" s="48"/>
      <c r="C11" s="47"/>
      <c r="D11" s="47"/>
      <c r="E11" s="47" t="str">
        <f>IFERROR(INDEX('Item codes'!B1:B261,MATCH(B11,'Item codes'!A1:A261,0)),"")</f>
        <v/>
      </c>
      <c r="F11" s="47"/>
      <c r="G11" s="47"/>
    </row>
    <row r="12" ht="19.800000000000001" customHeight="1">
      <c r="A12" s="47"/>
      <c r="B12" s="48"/>
      <c r="C12" s="47"/>
      <c r="D12" s="47"/>
      <c r="E12" s="47" t="str">
        <f>IFERROR(INDEX('Item codes'!B1:B261,MATCH(B12,'Item codes'!A1:A261,0)),"")</f>
        <v/>
      </c>
      <c r="F12" s="47"/>
      <c r="G12" s="47"/>
    </row>
    <row r="13" ht="19.800000000000001" customHeight="1">
      <c r="A13" s="47"/>
      <c r="B13" s="48"/>
      <c r="C13" s="47"/>
      <c r="D13" s="47"/>
      <c r="E13" s="47" t="str">
        <f>IFERROR(INDEX('Item codes'!B1:B261,MATCH(B13,'Item codes'!A1:A261,0)),"")</f>
        <v/>
      </c>
      <c r="F13" s="47"/>
      <c r="G13" s="47"/>
    </row>
    <row r="14" ht="19.800000000000001" customHeight="1">
      <c r="A14" s="47"/>
      <c r="B14" s="48"/>
      <c r="C14" s="47"/>
      <c r="D14" s="47"/>
      <c r="E14" s="47" t="str">
        <f>IFERROR(INDEX('Item codes'!B1:B261,MATCH(B14,'Item codes'!A1:A261,0)),"")</f>
        <v/>
      </c>
      <c r="F14" s="47"/>
      <c r="G14" s="47"/>
    </row>
    <row r="15" ht="19.800000000000001" customHeight="1">
      <c r="A15" s="47"/>
      <c r="B15" s="48"/>
      <c r="C15" s="47"/>
      <c r="D15" s="47"/>
      <c r="E15" s="47" t="str">
        <f>IFERROR(INDEX('Item codes'!B1:B261,MATCH(B15,'Item codes'!A1:A261,0)),"")</f>
        <v/>
      </c>
      <c r="F15" s="47"/>
      <c r="G15" s="47"/>
    </row>
    <row r="16" ht="19.800000000000001" customHeight="1">
      <c r="A16" s="47"/>
      <c r="B16" s="48"/>
      <c r="C16" s="47"/>
      <c r="D16" s="47"/>
      <c r="E16" s="47" t="str">
        <f>IFERROR(INDEX('Item codes'!B1:B261,MATCH(B16,'Item codes'!A1:A261,0)),"")</f>
        <v/>
      </c>
      <c r="F16" s="47"/>
      <c r="G16" s="47"/>
    </row>
    <row r="17" ht="19.800000000000001" customHeight="1">
      <c r="A17" s="47"/>
      <c r="B17" s="48"/>
      <c r="C17" s="47"/>
      <c r="D17" s="47"/>
      <c r="E17" s="47" t="str">
        <f>IFERROR(INDEX('Item codes'!B1:B261,MATCH(B17,'Item codes'!A1:A261,0)),"")</f>
        <v/>
      </c>
      <c r="F17" s="47"/>
      <c r="G17" s="47"/>
    </row>
    <row r="18" ht="19.800000000000001" customHeight="1">
      <c r="A18" s="47"/>
      <c r="B18" s="48"/>
      <c r="C18" s="47"/>
      <c r="D18" s="47"/>
      <c r="E18" s="47" t="str">
        <f>IFERROR(INDEX('Item codes'!B1:B261,MATCH(B18,'Item codes'!A1:A261,0)),"")</f>
        <v/>
      </c>
      <c r="F18" s="47"/>
      <c r="G18" s="47"/>
    </row>
    <row r="19" ht="19.800000000000001" customHeight="1">
      <c r="A19" s="47"/>
      <c r="B19" s="48"/>
      <c r="C19" s="47"/>
      <c r="D19" s="47"/>
      <c r="E19" s="47" t="str">
        <f>IFERROR(INDEX('Item codes'!B1:B261,MATCH(B19,'Item codes'!A1:A261,0)),"")</f>
        <v/>
      </c>
      <c r="F19" s="47"/>
      <c r="G19" s="47"/>
    </row>
    <row r="20" ht="19.800000000000001" customHeight="1">
      <c r="A20" s="47"/>
      <c r="B20" s="48"/>
      <c r="C20" s="47"/>
      <c r="D20" s="47"/>
      <c r="E20" s="47" t="str">
        <f>IFERROR(INDEX('Item codes'!B1:B261,MATCH(B20,'Item codes'!A1:A261,0)),"")</f>
        <v/>
      </c>
      <c r="F20" s="47"/>
      <c r="G20" s="47"/>
    </row>
    <row r="21" ht="19.800000000000001" customHeight="1">
      <c r="A21" s="47"/>
      <c r="B21" s="48"/>
      <c r="C21" s="47"/>
      <c r="D21" s="47"/>
      <c r="E21" s="47" t="str">
        <f>IFERROR(INDEX('Item codes'!B1:B261,MATCH(B21,'Item codes'!A1:A261,0)),"")</f>
        <v/>
      </c>
      <c r="F21" s="47"/>
      <c r="G21" s="47"/>
    </row>
    <row r="22" ht="19.800000000000001" customHeight="1">
      <c r="A22" s="47"/>
      <c r="B22" s="48"/>
      <c r="C22" s="47"/>
      <c r="D22" s="47"/>
      <c r="E22" s="47" t="str">
        <f>IFERROR(INDEX('Item codes'!B1:B261,MATCH(B22,'Item codes'!A1:A261,0)),"")</f>
        <v/>
      </c>
      <c r="F22" s="47"/>
      <c r="G22" s="47"/>
    </row>
    <row r="23" ht="19.800000000000001" customHeight="1">
      <c r="A23" s="47"/>
      <c r="B23" s="48"/>
      <c r="C23" s="47"/>
      <c r="D23" s="47"/>
      <c r="E23" s="47" t="str">
        <f>IFERROR(INDEX('Item codes'!B1:B261,MATCH(B23,'Item codes'!A1:A261,0)),"")</f>
        <v/>
      </c>
      <c r="F23" s="47"/>
      <c r="G23" s="47"/>
    </row>
    <row r="24" ht="19.800000000000001" customHeight="1">
      <c r="A24" s="47"/>
      <c r="B24" s="48"/>
      <c r="C24" s="47"/>
      <c r="D24" s="47"/>
      <c r="E24" s="47" t="str">
        <f>IFERROR(INDEX('Item codes'!B1:B261,MATCH(B24,'Item codes'!A1:A261,0)),"")</f>
        <v/>
      </c>
      <c r="F24" s="47"/>
      <c r="G24" s="47"/>
    </row>
    <row r="25" ht="19.800000000000001" customHeight="1">
      <c r="A25" s="47"/>
      <c r="B25" s="48"/>
      <c r="C25" s="47"/>
      <c r="D25" s="47"/>
      <c r="E25" s="47" t="str">
        <f>IFERROR(INDEX('Item codes'!B1:B261,MATCH(B25,'Item codes'!A1:A261,0)),"")</f>
        <v/>
      </c>
      <c r="F25" s="47"/>
      <c r="G25" s="47"/>
    </row>
    <row r="26" ht="19.800000000000001" customHeight="1">
      <c r="A26" s="47"/>
      <c r="B26" s="48"/>
      <c r="C26" s="47"/>
      <c r="D26" s="47"/>
      <c r="E26" s="47" t="str">
        <f>IFERROR(INDEX('Item codes'!B1:B261,MATCH(B26,'Item codes'!A1:A261,0)),"")</f>
        <v/>
      </c>
      <c r="F26" s="47"/>
      <c r="G26" s="47"/>
    </row>
    <row r="27" ht="19.800000000000001" customHeight="1">
      <c r="A27" s="47"/>
      <c r="B27" s="48"/>
      <c r="C27" s="47"/>
      <c r="D27" s="47"/>
      <c r="E27" s="47" t="str">
        <f>IFERROR(INDEX('Item codes'!B1:B261,MATCH(B27,'Item codes'!A1:A261,0)),"")</f>
        <v/>
      </c>
      <c r="F27" s="47"/>
      <c r="G27" s="47"/>
    </row>
    <row r="28" ht="19.800000000000001" customHeight="1">
      <c r="A28" s="47"/>
      <c r="B28" s="48"/>
      <c r="C28" s="47"/>
      <c r="D28" s="47"/>
      <c r="E28" s="47" t="str">
        <f>IFERROR(INDEX('Item codes'!B1:B261,MATCH(B28,'Item codes'!A1:A261,0)),"")</f>
        <v/>
      </c>
      <c r="F28" s="47"/>
      <c r="G28" s="47"/>
    </row>
    <row r="29" ht="19.800000000000001" customHeight="1">
      <c r="A29" s="47"/>
      <c r="B29" s="48"/>
      <c r="C29" s="47"/>
      <c r="D29" s="47"/>
      <c r="E29" s="47" t="str">
        <f>IFERROR(INDEX('Item codes'!B1:B261,MATCH(B29,'Item codes'!A1:A261,0)),"")</f>
        <v/>
      </c>
      <c r="F29" s="47"/>
      <c r="G29" s="47"/>
    </row>
    <row r="30" ht="19.800000000000001" customHeight="1">
      <c r="A30" s="47"/>
      <c r="B30" s="48"/>
      <c r="C30" s="47"/>
      <c r="D30" s="47"/>
      <c r="E30" s="47" t="str">
        <f>IFERROR(INDEX('Item codes'!B1:B261,MATCH(B30,'Item codes'!A1:A261,0)),"")</f>
        <v/>
      </c>
      <c r="F30" s="47"/>
      <c r="G30" s="47"/>
    </row>
    <row r="31" ht="19.800000000000001" customHeight="1">
      <c r="A31" s="47"/>
      <c r="B31" s="48"/>
      <c r="C31" s="47"/>
      <c r="D31" s="47"/>
      <c r="E31" s="47" t="str">
        <f>IFERROR(INDEX('Item codes'!B1:B261,MATCH(B31,'Item codes'!A1:A261,0)),"")</f>
        <v/>
      </c>
      <c r="F31" s="47"/>
      <c r="G31" s="47"/>
    </row>
    <row r="32" ht="19.800000000000001" customHeight="1">
      <c r="A32" s="47"/>
      <c r="B32" s="48"/>
      <c r="C32" s="47"/>
      <c r="D32" s="47"/>
      <c r="E32" s="47" t="str">
        <f>IFERROR(INDEX('Item codes'!B1:B261,MATCH(B32,'Item codes'!A1:A261,0)),"")</f>
        <v/>
      </c>
      <c r="F32" s="47"/>
      <c r="G32" s="47"/>
    </row>
    <row r="33" ht="19.800000000000001" customHeight="1">
      <c r="A33" s="47"/>
      <c r="B33" s="48"/>
      <c r="C33" s="47"/>
      <c r="D33" s="47"/>
      <c r="E33" s="47" t="str">
        <f>IFERROR(INDEX('Item codes'!B1:B261,MATCH(B33,'Item codes'!A1:A261,0)),"")</f>
        <v/>
      </c>
      <c r="F33" s="47"/>
      <c r="G33" s="47"/>
    </row>
    <row r="34" ht="12.6" customHeight="1">
      <c r="A34" s="79" t="s">
        <v>42</v>
      </c>
      <c r="B34" s="80"/>
      <c r="C34" s="80"/>
      <c r="D34" s="80"/>
      <c r="E34" s="80"/>
      <c r="F34" s="80"/>
      <c r="G34" s="81"/>
    </row>
    <row r="35" ht="12" customHeight="1">
      <c r="A35" s="82" t="s">
        <v>43</v>
      </c>
      <c r="B35" s="83"/>
      <c r="C35" s="83"/>
      <c r="D35" s="84"/>
      <c r="E35" s="85" t="s">
        <v>44</v>
      </c>
      <c r="F35" s="82" t="s">
        <v>45</v>
      </c>
      <c r="G35" s="84"/>
    </row>
    <row r="36" ht="34.799999999999997" customHeight="1">
      <c r="A36" s="57"/>
      <c r="B36" s="58"/>
      <c r="C36" s="58"/>
      <c r="D36" s="59"/>
      <c r="E36" s="60"/>
      <c r="F36" s="57"/>
      <c r="G36" s="61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4">
    <mergeCell ref="A36:C36"/>
    <mergeCell ref="F36:G36"/>
    <mergeCell ref="A3:B3"/>
    <mergeCell ref="D3:E3"/>
    <mergeCell ref="F3:G3"/>
    <mergeCell ref="A5:B5"/>
    <mergeCell ref="F5:G5"/>
    <mergeCell ref="A6:B6"/>
    <mergeCell ref="F6:G6"/>
    <mergeCell ref="A7:C7"/>
    <mergeCell ref="A8:C8"/>
    <mergeCell ref="A34:G34"/>
    <mergeCell ref="A35:D35"/>
    <mergeCell ref="F35:G35"/>
  </mergeCells>
  <printOptions headings="0" gridLines="0" horizontalCentered="1" verticalCentered="1"/>
  <pageMargins left="0.25" right="0.25" top="0.75" bottom="0.75" header="0.29999999999999999" footer="0.29999999999999999"/>
  <pageSetup paperSize="9" scale="96" fitToWidth="1" fitToHeight="1" pageOrder="downThenOver" orientation="portrait" usePrinterDefaults="1" blackAndWhite="0" draft="0" cellComments="none" useFirstPageNumber="0" errors="displayed" horizontalDpi="1200" verticalDpi="12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0"/>
  </sheetPr>
  <sheetViews>
    <sheetView zoomScale="100" workbookViewId="0">
      <selection activeCell="E14" activeCellId="0" sqref="E14"/>
    </sheetView>
  </sheetViews>
  <sheetFormatPr defaultColWidth="8" defaultRowHeight="15"/>
  <cols>
    <col bestFit="1" customWidth="1" min="1" max="1" style="87" width="9.6640625"/>
    <col bestFit="1" customWidth="1" min="2" max="2" style="86" width="104.3359375"/>
    <col min="3" max="16384" style="86" width="8"/>
  </cols>
  <sheetData>
    <row r="1">
      <c r="A1" s="88" t="s">
        <v>70</v>
      </c>
      <c r="B1" s="86" t="s">
        <v>71</v>
      </c>
    </row>
    <row r="2">
      <c r="A2" s="88" t="s">
        <v>72</v>
      </c>
      <c r="B2" s="86" t="s">
        <v>73</v>
      </c>
    </row>
    <row r="3">
      <c r="A3" s="88" t="s">
        <v>74</v>
      </c>
      <c r="B3" s="86" t="s">
        <v>75</v>
      </c>
    </row>
    <row r="4">
      <c r="A4" s="88" t="s">
        <v>76</v>
      </c>
      <c r="B4" s="86" t="s">
        <v>77</v>
      </c>
    </row>
    <row r="5">
      <c r="A5" s="88" t="s">
        <v>78</v>
      </c>
      <c r="B5" s="86" t="s">
        <v>79</v>
      </c>
    </row>
    <row r="6">
      <c r="A6" s="88" t="s">
        <v>80</v>
      </c>
      <c r="B6" s="86" t="s">
        <v>81</v>
      </c>
    </row>
    <row r="7">
      <c r="A7" s="88" t="s">
        <v>82</v>
      </c>
      <c r="B7" s="86" t="s">
        <v>83</v>
      </c>
    </row>
    <row r="8">
      <c r="A8" s="88" t="s">
        <v>84</v>
      </c>
      <c r="B8" s="86" t="s">
        <v>85</v>
      </c>
    </row>
    <row r="9">
      <c r="A9" s="88" t="s">
        <v>86</v>
      </c>
      <c r="B9" s="86" t="s">
        <v>87</v>
      </c>
    </row>
    <row r="10">
      <c r="A10" s="88" t="s">
        <v>88</v>
      </c>
      <c r="B10" s="86" t="s">
        <v>89</v>
      </c>
    </row>
    <row r="11">
      <c r="A11" s="88" t="s">
        <v>90</v>
      </c>
      <c r="B11" s="86" t="s">
        <v>91</v>
      </c>
    </row>
    <row r="12">
      <c r="A12" s="88" t="s">
        <v>92</v>
      </c>
      <c r="B12" s="86" t="s">
        <v>93</v>
      </c>
    </row>
    <row r="13" hidden="1">
      <c r="A13" s="89" t="s">
        <v>49</v>
      </c>
      <c r="B13" s="90" t="s">
        <v>94</v>
      </c>
    </row>
    <row r="14" hidden="1">
      <c r="A14" s="89" t="s">
        <v>51</v>
      </c>
      <c r="B14" s="90" t="s">
        <v>95</v>
      </c>
    </row>
    <row r="15" hidden="1">
      <c r="A15" s="89" t="s">
        <v>52</v>
      </c>
      <c r="B15" s="90" t="s">
        <v>96</v>
      </c>
    </row>
    <row r="16">
      <c r="A16" s="88" t="s">
        <v>97</v>
      </c>
      <c r="B16" s="86" t="s">
        <v>98</v>
      </c>
    </row>
    <row r="17" ht="15">
      <c r="A17" s="88" t="s">
        <v>99</v>
      </c>
      <c r="B17" s="86" t="s">
        <v>100</v>
      </c>
    </row>
    <row r="18" ht="15">
      <c r="A18" s="88" t="s">
        <v>101</v>
      </c>
      <c r="B18" s="86" t="s">
        <v>102</v>
      </c>
    </row>
    <row r="19" ht="15">
      <c r="A19" s="88" t="s">
        <v>103</v>
      </c>
      <c r="B19" s="86" t="s">
        <v>104</v>
      </c>
    </row>
    <row r="20" ht="15">
      <c r="A20" s="88" t="s">
        <v>56</v>
      </c>
      <c r="B20" s="86" t="s">
        <v>105</v>
      </c>
    </row>
    <row r="21" ht="15">
      <c r="A21" s="88" t="s">
        <v>106</v>
      </c>
      <c r="B21" s="86" t="s">
        <v>107</v>
      </c>
    </row>
    <row r="22" ht="15">
      <c r="A22" s="88" t="s">
        <v>57</v>
      </c>
      <c r="B22" s="86" t="s">
        <v>108</v>
      </c>
    </row>
    <row r="23" ht="15">
      <c r="A23" s="88" t="s">
        <v>109</v>
      </c>
      <c r="B23" s="86" t="s">
        <v>110</v>
      </c>
    </row>
    <row r="24" ht="15">
      <c r="A24" s="88" t="s">
        <v>111</v>
      </c>
      <c r="B24" s="86" t="s">
        <v>112</v>
      </c>
    </row>
    <row r="25" ht="15">
      <c r="A25" s="88" t="s">
        <v>113</v>
      </c>
      <c r="B25" s="86" t="s">
        <v>114</v>
      </c>
    </row>
    <row r="26" ht="15">
      <c r="A26" s="88" t="s">
        <v>115</v>
      </c>
      <c r="B26" s="86" t="s">
        <v>116</v>
      </c>
    </row>
    <row r="27" ht="15">
      <c r="A27" s="88" t="s">
        <v>117</v>
      </c>
      <c r="B27" s="86" t="s">
        <v>118</v>
      </c>
    </row>
    <row r="28" ht="15">
      <c r="A28" s="88" t="s">
        <v>119</v>
      </c>
      <c r="B28" s="86" t="s">
        <v>120</v>
      </c>
      <c r="C28" s="86"/>
    </row>
    <row r="29" ht="15">
      <c r="A29" s="88" t="s">
        <v>121</v>
      </c>
      <c r="B29" s="86" t="s">
        <v>122</v>
      </c>
    </row>
    <row r="30" ht="15">
      <c r="A30" s="88" t="s">
        <v>123</v>
      </c>
      <c r="B30" s="86" t="s">
        <v>124</v>
      </c>
    </row>
    <row r="31" ht="15">
      <c r="A31" s="88" t="s">
        <v>125</v>
      </c>
      <c r="B31" s="86" t="s">
        <v>126</v>
      </c>
    </row>
    <row r="32" ht="15">
      <c r="A32" s="87" t="s">
        <v>127</v>
      </c>
      <c r="B32" s="86" t="s">
        <v>128</v>
      </c>
    </row>
    <row r="33" ht="15">
      <c r="A33" s="88" t="s">
        <v>129</v>
      </c>
      <c r="B33" s="86" t="s">
        <v>130</v>
      </c>
    </row>
    <row r="34" ht="15">
      <c r="A34" s="88" t="s">
        <v>131</v>
      </c>
      <c r="B34" s="86" t="s">
        <v>132</v>
      </c>
    </row>
    <row r="35" ht="15">
      <c r="A35" s="88" t="s">
        <v>133</v>
      </c>
      <c r="B35" s="86" t="s">
        <v>134</v>
      </c>
    </row>
    <row r="36" ht="15">
      <c r="A36" s="88" t="s">
        <v>135</v>
      </c>
      <c r="B36" s="86" t="s">
        <v>136</v>
      </c>
    </row>
    <row r="37" ht="15">
      <c r="A37" s="88" t="s">
        <v>137</v>
      </c>
      <c r="B37" s="86" t="s">
        <v>138</v>
      </c>
    </row>
    <row r="38" ht="15">
      <c r="A38" s="88" t="s">
        <v>139</v>
      </c>
      <c r="B38" s="86" t="s">
        <v>140</v>
      </c>
    </row>
    <row r="39" ht="15">
      <c r="A39" s="88" t="s">
        <v>141</v>
      </c>
      <c r="B39" s="86" t="s">
        <v>142</v>
      </c>
    </row>
    <row r="40" ht="15">
      <c r="A40" s="88" t="s">
        <v>143</v>
      </c>
      <c r="B40" s="86" t="s">
        <v>144</v>
      </c>
    </row>
    <row r="41" ht="15">
      <c r="A41" s="88" t="s">
        <v>145</v>
      </c>
      <c r="B41" s="86" t="s">
        <v>146</v>
      </c>
    </row>
    <row r="42" ht="15">
      <c r="A42" s="88" t="s">
        <v>147</v>
      </c>
      <c r="B42" s="86" t="s">
        <v>148</v>
      </c>
    </row>
    <row r="43" ht="15">
      <c r="A43" s="88" t="s">
        <v>149</v>
      </c>
      <c r="B43" s="86" t="s">
        <v>150</v>
      </c>
    </row>
    <row r="44" ht="15">
      <c r="A44" s="88" t="s">
        <v>151</v>
      </c>
      <c r="B44" s="86" t="s">
        <v>152</v>
      </c>
    </row>
    <row r="45" ht="15">
      <c r="A45" s="88" t="s">
        <v>153</v>
      </c>
      <c r="B45" s="86" t="s">
        <v>154</v>
      </c>
    </row>
    <row r="46" ht="15">
      <c r="A46" s="88" t="s">
        <v>155</v>
      </c>
      <c r="B46" s="86" t="s">
        <v>156</v>
      </c>
    </row>
    <row r="47" ht="15">
      <c r="A47" s="88" t="s">
        <v>157</v>
      </c>
      <c r="B47" s="86" t="s">
        <v>158</v>
      </c>
    </row>
    <row r="48" ht="15">
      <c r="A48" s="88" t="s">
        <v>159</v>
      </c>
      <c r="B48" s="86" t="s">
        <v>160</v>
      </c>
    </row>
    <row r="49" ht="15">
      <c r="A49" s="88" t="s">
        <v>161</v>
      </c>
      <c r="B49" s="86" t="s">
        <v>162</v>
      </c>
    </row>
    <row r="50" ht="15">
      <c r="A50" s="88" t="s">
        <v>163</v>
      </c>
      <c r="B50" s="86" t="s">
        <v>164</v>
      </c>
    </row>
    <row r="51" ht="15">
      <c r="A51" s="88" t="s">
        <v>165</v>
      </c>
      <c r="B51" s="86" t="s">
        <v>166</v>
      </c>
    </row>
    <row r="52" ht="15">
      <c r="A52" s="88" t="s">
        <v>167</v>
      </c>
      <c r="B52" s="86" t="s">
        <v>168</v>
      </c>
    </row>
    <row r="53" ht="15">
      <c r="A53" s="88" t="s">
        <v>169</v>
      </c>
      <c r="B53" s="86" t="s">
        <v>170</v>
      </c>
    </row>
    <row r="54" ht="15">
      <c r="A54" s="88" t="s">
        <v>171</v>
      </c>
      <c r="B54" s="86" t="s">
        <v>172</v>
      </c>
    </row>
    <row r="55" ht="15">
      <c r="A55" s="88" t="s">
        <v>173</v>
      </c>
      <c r="B55" s="86" t="s">
        <v>174</v>
      </c>
    </row>
    <row r="56" ht="15">
      <c r="A56" s="88" t="s">
        <v>175</v>
      </c>
      <c r="B56" s="86" t="s">
        <v>176</v>
      </c>
    </row>
    <row r="57" ht="15">
      <c r="A57" s="88" t="s">
        <v>177</v>
      </c>
      <c r="B57" s="86" t="s">
        <v>178</v>
      </c>
    </row>
    <row r="58" ht="15">
      <c r="A58" s="88" t="s">
        <v>179</v>
      </c>
      <c r="B58" s="86" t="s">
        <v>180</v>
      </c>
    </row>
    <row r="59" ht="15">
      <c r="A59" s="88" t="s">
        <v>39</v>
      </c>
      <c r="B59" s="86" t="s">
        <v>181</v>
      </c>
    </row>
    <row r="60" ht="15">
      <c r="A60" s="88" t="s">
        <v>182</v>
      </c>
      <c r="B60" s="86" t="s">
        <v>183</v>
      </c>
    </row>
    <row r="61" ht="15">
      <c r="A61" s="88" t="s">
        <v>184</v>
      </c>
      <c r="B61" s="86" t="s">
        <v>183</v>
      </c>
    </row>
    <row r="62" ht="15">
      <c r="A62" s="88" t="s">
        <v>185</v>
      </c>
      <c r="B62" s="86" t="s">
        <v>186</v>
      </c>
    </row>
    <row r="63" ht="15">
      <c r="A63" s="88" t="s">
        <v>187</v>
      </c>
      <c r="B63" s="86" t="s">
        <v>188</v>
      </c>
    </row>
    <row r="64" ht="15">
      <c r="A64" s="88" t="s">
        <v>189</v>
      </c>
      <c r="B64" s="86" t="s">
        <v>190</v>
      </c>
    </row>
    <row r="65" ht="15">
      <c r="A65" s="88" t="s">
        <v>191</v>
      </c>
      <c r="B65" s="86" t="s">
        <v>192</v>
      </c>
    </row>
    <row r="66" ht="15">
      <c r="A66" s="87" t="s">
        <v>193</v>
      </c>
      <c r="B66" s="86" t="s">
        <v>194</v>
      </c>
    </row>
    <row r="67" ht="15">
      <c r="A67" s="88" t="s">
        <v>195</v>
      </c>
      <c r="B67" s="86" t="s">
        <v>196</v>
      </c>
    </row>
    <row r="68" ht="15">
      <c r="A68" s="88" t="s">
        <v>197</v>
      </c>
      <c r="B68" s="86" t="s">
        <v>198</v>
      </c>
    </row>
    <row r="69" ht="15">
      <c r="A69" s="88" t="s">
        <v>199</v>
      </c>
      <c r="B69" s="86" t="s">
        <v>200</v>
      </c>
    </row>
    <row r="70" ht="15">
      <c r="A70" s="88" t="s">
        <v>201</v>
      </c>
      <c r="B70" s="86" t="s">
        <v>202</v>
      </c>
    </row>
    <row r="71" ht="15">
      <c r="A71" s="88" t="s">
        <v>203</v>
      </c>
      <c r="B71" s="86" t="s">
        <v>204</v>
      </c>
    </row>
    <row r="72" ht="15">
      <c r="A72" s="88" t="s">
        <v>205</v>
      </c>
      <c r="B72" s="86" t="s">
        <v>206</v>
      </c>
    </row>
    <row r="73" ht="15">
      <c r="A73" s="88" t="s">
        <v>207</v>
      </c>
      <c r="B73" s="86" t="s">
        <v>208</v>
      </c>
    </row>
    <row r="74" ht="15">
      <c r="A74" s="88" t="s">
        <v>209</v>
      </c>
      <c r="B74" s="86" t="s">
        <v>210</v>
      </c>
    </row>
    <row r="75" ht="15">
      <c r="A75" s="88" t="s">
        <v>211</v>
      </c>
      <c r="B75" s="86" t="s">
        <v>212</v>
      </c>
    </row>
    <row r="76" ht="15">
      <c r="A76" s="88" t="s">
        <v>213</v>
      </c>
      <c r="B76" s="86" t="s">
        <v>214</v>
      </c>
    </row>
    <row r="77" ht="15">
      <c r="A77" s="88" t="s">
        <v>215</v>
      </c>
      <c r="B77" s="86" t="s">
        <v>216</v>
      </c>
    </row>
    <row r="78" ht="15">
      <c r="A78" s="88" t="s">
        <v>217</v>
      </c>
      <c r="B78" s="86" t="s">
        <v>218</v>
      </c>
    </row>
    <row r="79" ht="15">
      <c r="A79" s="88" t="s">
        <v>219</v>
      </c>
      <c r="B79" s="86" t="s">
        <v>220</v>
      </c>
    </row>
    <row r="80" ht="15">
      <c r="A80" s="88" t="s">
        <v>221</v>
      </c>
      <c r="B80" s="86" t="s">
        <v>222</v>
      </c>
    </row>
    <row r="81" ht="15">
      <c r="A81" s="88" t="s">
        <v>223</v>
      </c>
      <c r="B81" s="86" t="s">
        <v>224</v>
      </c>
    </row>
    <row r="82" ht="15">
      <c r="A82" s="88" t="s">
        <v>225</v>
      </c>
      <c r="B82" s="86" t="s">
        <v>226</v>
      </c>
    </row>
    <row r="83" ht="15">
      <c r="A83" s="88" t="s">
        <v>227</v>
      </c>
      <c r="B83" s="86" t="s">
        <v>228</v>
      </c>
    </row>
    <row r="84" ht="15">
      <c r="A84" s="88" t="s">
        <v>229</v>
      </c>
      <c r="B84" s="86" t="s">
        <v>230</v>
      </c>
    </row>
    <row r="85" ht="15">
      <c r="A85" s="88" t="s">
        <v>231</v>
      </c>
      <c r="B85" s="86" t="s">
        <v>232</v>
      </c>
    </row>
    <row r="86" ht="15">
      <c r="A86" s="88" t="s">
        <v>233</v>
      </c>
      <c r="B86" s="86" t="s">
        <v>234</v>
      </c>
    </row>
    <row r="87" ht="15">
      <c r="A87" s="88" t="s">
        <v>235</v>
      </c>
      <c r="B87" s="86" t="s">
        <v>236</v>
      </c>
    </row>
    <row r="88" ht="15">
      <c r="A88" s="88" t="s">
        <v>237</v>
      </c>
      <c r="B88" s="86" t="s">
        <v>238</v>
      </c>
    </row>
    <row r="89" ht="15">
      <c r="A89" s="88" t="s">
        <v>239</v>
      </c>
      <c r="B89" s="86" t="s">
        <v>240</v>
      </c>
    </row>
    <row r="90" ht="15">
      <c r="A90" s="88" t="s">
        <v>241</v>
      </c>
      <c r="B90" s="86" t="s">
        <v>242</v>
      </c>
    </row>
    <row r="91" ht="15">
      <c r="A91" s="87" t="s">
        <v>243</v>
      </c>
      <c r="B91" s="86" t="s">
        <v>244</v>
      </c>
    </row>
    <row r="92" ht="15">
      <c r="A92" s="88" t="s">
        <v>245</v>
      </c>
      <c r="B92" s="86" t="s">
        <v>246</v>
      </c>
    </row>
    <row r="93" ht="15">
      <c r="A93" s="88" t="s">
        <v>247</v>
      </c>
      <c r="B93" s="86" t="s">
        <v>248</v>
      </c>
    </row>
    <row r="94" ht="15">
      <c r="A94" s="88" t="s">
        <v>46</v>
      </c>
      <c r="B94" s="86" t="s">
        <v>249</v>
      </c>
    </row>
    <row r="95" ht="15">
      <c r="A95" s="88" t="s">
        <v>250</v>
      </c>
      <c r="B95" s="86" t="s">
        <v>251</v>
      </c>
    </row>
    <row r="96" ht="15">
      <c r="A96" s="88" t="s">
        <v>252</v>
      </c>
      <c r="B96" s="86" t="s">
        <v>253</v>
      </c>
    </row>
    <row r="97" ht="15">
      <c r="A97" s="88" t="s">
        <v>254</v>
      </c>
      <c r="B97" s="86" t="s">
        <v>255</v>
      </c>
    </row>
    <row r="98" ht="15">
      <c r="A98" s="88" t="s">
        <v>256</v>
      </c>
      <c r="B98" s="86" t="s">
        <v>253</v>
      </c>
    </row>
    <row r="99" ht="15">
      <c r="A99" s="87" t="s">
        <v>257</v>
      </c>
      <c r="B99" s="86" t="s">
        <v>258</v>
      </c>
    </row>
    <row r="100" ht="15">
      <c r="A100" s="88" t="s">
        <v>259</v>
      </c>
      <c r="B100" s="86" t="s">
        <v>260</v>
      </c>
    </row>
    <row r="101" ht="15">
      <c r="A101" s="88" t="s">
        <v>261</v>
      </c>
      <c r="B101" s="86" t="s">
        <v>248</v>
      </c>
    </row>
    <row r="102" ht="15">
      <c r="A102" s="88" t="s">
        <v>262</v>
      </c>
      <c r="B102" s="86" t="s">
        <v>263</v>
      </c>
    </row>
    <row r="103" ht="15">
      <c r="A103" s="88" t="s">
        <v>264</v>
      </c>
      <c r="B103" s="86" t="s">
        <v>265</v>
      </c>
    </row>
    <row r="104" ht="15">
      <c r="A104" s="88" t="s">
        <v>266</v>
      </c>
      <c r="B104" s="86" t="s">
        <v>267</v>
      </c>
    </row>
    <row r="105" ht="15">
      <c r="A105" s="88" t="s">
        <v>268</v>
      </c>
      <c r="B105" s="86" t="s">
        <v>269</v>
      </c>
    </row>
    <row r="106" ht="15">
      <c r="A106" s="88" t="s">
        <v>270</v>
      </c>
      <c r="B106" s="86" t="s">
        <v>271</v>
      </c>
    </row>
    <row r="107" ht="15">
      <c r="A107" s="88" t="s">
        <v>272</v>
      </c>
      <c r="B107" s="86" t="s">
        <v>273</v>
      </c>
    </row>
    <row r="108" ht="15">
      <c r="A108" s="88" t="s">
        <v>274</v>
      </c>
      <c r="B108" s="86" t="s">
        <v>275</v>
      </c>
    </row>
    <row r="109" ht="15">
      <c r="A109" s="88" t="s">
        <v>276</v>
      </c>
      <c r="B109" s="86" t="s">
        <v>277</v>
      </c>
    </row>
    <row r="110" ht="15">
      <c r="A110" s="88" t="s">
        <v>278</v>
      </c>
      <c r="B110" s="86" t="s">
        <v>279</v>
      </c>
    </row>
    <row r="111" ht="15">
      <c r="A111" s="88" t="s">
        <v>280</v>
      </c>
      <c r="B111" s="86" t="s">
        <v>281</v>
      </c>
    </row>
    <row r="112" ht="15">
      <c r="A112" s="88" t="s">
        <v>282</v>
      </c>
      <c r="B112" s="86" t="s">
        <v>283</v>
      </c>
    </row>
    <row r="113" ht="15">
      <c r="A113" s="88" t="s">
        <v>284</v>
      </c>
      <c r="B113" s="86" t="s">
        <v>285</v>
      </c>
    </row>
    <row r="114" ht="15">
      <c r="A114" s="88" t="s">
        <v>286</v>
      </c>
      <c r="B114" s="86" t="s">
        <v>287</v>
      </c>
    </row>
    <row r="115" ht="15">
      <c r="A115" s="88" t="s">
        <v>288</v>
      </c>
      <c r="B115" s="86" t="s">
        <v>289</v>
      </c>
    </row>
    <row r="116" ht="15">
      <c r="A116" s="88" t="s">
        <v>290</v>
      </c>
      <c r="B116" s="86" t="s">
        <v>291</v>
      </c>
    </row>
    <row r="117" ht="15">
      <c r="A117" s="88" t="s">
        <v>292</v>
      </c>
      <c r="B117" s="86" t="s">
        <v>293</v>
      </c>
    </row>
    <row r="118" ht="15">
      <c r="A118" s="88" t="s">
        <v>294</v>
      </c>
      <c r="B118" s="86" t="s">
        <v>295</v>
      </c>
    </row>
    <row r="119" ht="15">
      <c r="A119" s="87">
        <v>488679</v>
      </c>
      <c r="B119" s="86" t="s">
        <v>296</v>
      </c>
    </row>
    <row r="120" ht="15">
      <c r="A120" s="88" t="s">
        <v>297</v>
      </c>
      <c r="B120" s="86" t="s">
        <v>298</v>
      </c>
    </row>
    <row r="121" ht="15">
      <c r="A121" s="88" t="s">
        <v>299</v>
      </c>
      <c r="B121" s="86" t="s">
        <v>300</v>
      </c>
    </row>
    <row r="122" ht="15">
      <c r="A122" s="88" t="s">
        <v>301</v>
      </c>
      <c r="B122" s="86" t="s">
        <v>302</v>
      </c>
    </row>
    <row r="123" ht="15">
      <c r="A123" s="87" t="s">
        <v>303</v>
      </c>
      <c r="B123" s="86" t="s">
        <v>304</v>
      </c>
    </row>
    <row r="124" ht="15">
      <c r="A124" s="88" t="s">
        <v>305</v>
      </c>
      <c r="B124" s="86" t="s">
        <v>304</v>
      </c>
    </row>
    <row r="125" ht="15">
      <c r="A125" s="88" t="s">
        <v>306</v>
      </c>
      <c r="B125" s="86" t="s">
        <v>307</v>
      </c>
    </row>
    <row r="126" ht="15">
      <c r="A126" s="88" t="s">
        <v>308</v>
      </c>
      <c r="B126" s="86" t="s">
        <v>309</v>
      </c>
    </row>
    <row r="127" ht="15">
      <c r="A127" s="88" t="s">
        <v>310</v>
      </c>
      <c r="B127" s="86" t="s">
        <v>311</v>
      </c>
    </row>
    <row r="128" ht="15">
      <c r="A128" s="87" t="s">
        <v>310</v>
      </c>
      <c r="B128" s="86" t="s">
        <v>312</v>
      </c>
    </row>
    <row r="129" ht="15">
      <c r="A129" s="88" t="s">
        <v>313</v>
      </c>
      <c r="B129" s="86" t="s">
        <v>314</v>
      </c>
    </row>
    <row r="130" ht="15">
      <c r="A130" s="88" t="s">
        <v>315</v>
      </c>
      <c r="B130" s="86" t="s">
        <v>316</v>
      </c>
    </row>
    <row r="131" ht="15">
      <c r="A131" s="87" t="s">
        <v>317</v>
      </c>
      <c r="B131" s="86" t="s">
        <v>318</v>
      </c>
    </row>
    <row r="132" ht="15">
      <c r="A132" s="87" t="s">
        <v>319</v>
      </c>
      <c r="B132" s="86" t="s">
        <v>320</v>
      </c>
    </row>
    <row r="133" ht="15">
      <c r="A133" s="88" t="s">
        <v>321</v>
      </c>
      <c r="B133" s="86" t="s">
        <v>320</v>
      </c>
    </row>
    <row r="134" ht="15">
      <c r="A134" s="87" t="s">
        <v>322</v>
      </c>
      <c r="B134" s="86" t="s">
        <v>323</v>
      </c>
    </row>
    <row r="135" ht="15">
      <c r="A135" s="88" t="s">
        <v>324</v>
      </c>
      <c r="B135" s="86" t="s">
        <v>325</v>
      </c>
    </row>
    <row r="136" ht="15">
      <c r="A136" s="88" t="s">
        <v>326</v>
      </c>
      <c r="B136" s="86" t="s">
        <v>327</v>
      </c>
    </row>
    <row r="137" ht="15">
      <c r="A137" s="87" t="s">
        <v>328</v>
      </c>
      <c r="B137" s="86" t="s">
        <v>329</v>
      </c>
    </row>
    <row r="138" ht="15">
      <c r="A138" s="88" t="s">
        <v>330</v>
      </c>
      <c r="B138" s="86" t="s">
        <v>331</v>
      </c>
    </row>
    <row r="139" ht="15">
      <c r="A139" s="88" t="s">
        <v>332</v>
      </c>
      <c r="B139" s="86" t="s">
        <v>333</v>
      </c>
    </row>
    <row r="140" ht="15">
      <c r="A140" s="88" t="s">
        <v>334</v>
      </c>
      <c r="B140" s="86" t="s">
        <v>335</v>
      </c>
    </row>
    <row r="141" ht="15">
      <c r="A141" s="88" t="s">
        <v>336</v>
      </c>
      <c r="B141" s="86" t="s">
        <v>337</v>
      </c>
    </row>
    <row r="142" ht="15">
      <c r="A142" s="88" t="s">
        <v>338</v>
      </c>
      <c r="B142" s="86" t="s">
        <v>339</v>
      </c>
    </row>
    <row r="143" ht="15">
      <c r="A143" s="88" t="s">
        <v>340</v>
      </c>
      <c r="B143" s="86" t="s">
        <v>341</v>
      </c>
    </row>
    <row r="144" ht="15">
      <c r="A144" s="88" t="s">
        <v>342</v>
      </c>
      <c r="B144" s="86" t="s">
        <v>343</v>
      </c>
    </row>
    <row r="145" ht="15">
      <c r="A145" s="88" t="s">
        <v>344</v>
      </c>
      <c r="B145" s="86" t="s">
        <v>345</v>
      </c>
    </row>
    <row r="146" ht="15">
      <c r="A146" s="88" t="s">
        <v>346</v>
      </c>
      <c r="B146" s="86" t="s">
        <v>347</v>
      </c>
    </row>
    <row r="147" ht="15">
      <c r="A147" s="88" t="s">
        <v>348</v>
      </c>
      <c r="B147" s="86" t="s">
        <v>349</v>
      </c>
    </row>
    <row r="148" ht="15">
      <c r="A148" s="88" t="s">
        <v>47</v>
      </c>
      <c r="B148" s="86" t="s">
        <v>350</v>
      </c>
    </row>
    <row r="149" ht="15">
      <c r="A149" s="88" t="s">
        <v>351</v>
      </c>
      <c r="B149" s="86" t="s">
        <v>352</v>
      </c>
    </row>
    <row r="150" ht="15">
      <c r="A150" s="88" t="s">
        <v>353</v>
      </c>
      <c r="B150" s="86" t="s">
        <v>354</v>
      </c>
    </row>
    <row r="151" ht="15">
      <c r="A151" s="88" t="s">
        <v>48</v>
      </c>
      <c r="B151" s="86" t="s">
        <v>355</v>
      </c>
    </row>
    <row r="152" ht="15">
      <c r="A152" s="88" t="s">
        <v>356</v>
      </c>
      <c r="B152" s="86" t="s">
        <v>357</v>
      </c>
    </row>
    <row r="153" ht="15">
      <c r="A153" s="88" t="s">
        <v>358</v>
      </c>
      <c r="B153" s="86" t="s">
        <v>359</v>
      </c>
    </row>
    <row r="154" ht="15">
      <c r="A154" s="88" t="s">
        <v>360</v>
      </c>
      <c r="B154" s="86" t="s">
        <v>361</v>
      </c>
    </row>
    <row r="155" ht="15">
      <c r="A155" s="88" t="s">
        <v>362</v>
      </c>
      <c r="B155" s="86" t="s">
        <v>363</v>
      </c>
    </row>
    <row r="156" ht="15">
      <c r="A156" s="88" t="s">
        <v>364</v>
      </c>
      <c r="B156" s="86" t="s">
        <v>365</v>
      </c>
    </row>
    <row r="157" ht="15">
      <c r="A157" s="88" t="s">
        <v>366</v>
      </c>
      <c r="B157" s="86" t="s">
        <v>367</v>
      </c>
    </row>
    <row r="158" ht="15">
      <c r="A158" s="88" t="s">
        <v>368</v>
      </c>
      <c r="B158" s="86" t="s">
        <v>369</v>
      </c>
    </row>
    <row r="159" ht="15">
      <c r="A159" s="88" t="s">
        <v>370</v>
      </c>
      <c r="B159" s="86" t="s">
        <v>371</v>
      </c>
    </row>
    <row r="160" ht="15">
      <c r="A160" s="88" t="s">
        <v>372</v>
      </c>
      <c r="B160" s="86" t="s">
        <v>373</v>
      </c>
    </row>
    <row r="161" ht="15">
      <c r="A161" s="88" t="s">
        <v>374</v>
      </c>
      <c r="B161" s="86" t="s">
        <v>375</v>
      </c>
    </row>
    <row r="162" ht="15">
      <c r="A162" s="88" t="s">
        <v>376</v>
      </c>
      <c r="B162" s="86" t="s">
        <v>377</v>
      </c>
    </row>
    <row r="163" ht="15">
      <c r="A163" s="88" t="s">
        <v>378</v>
      </c>
      <c r="B163" s="86" t="s">
        <v>379</v>
      </c>
    </row>
    <row r="164" ht="15">
      <c r="A164" s="88" t="s">
        <v>380</v>
      </c>
      <c r="B164" s="86" t="s">
        <v>381</v>
      </c>
    </row>
    <row r="165" ht="15">
      <c r="A165" s="88" t="s">
        <v>382</v>
      </c>
      <c r="B165" s="86" t="s">
        <v>383</v>
      </c>
    </row>
    <row r="166" ht="15">
      <c r="A166" s="88" t="s">
        <v>384</v>
      </c>
      <c r="B166" s="86" t="s">
        <v>385</v>
      </c>
    </row>
    <row r="167" ht="15">
      <c r="A167" s="88" t="s">
        <v>386</v>
      </c>
      <c r="B167" s="86" t="s">
        <v>387</v>
      </c>
    </row>
    <row r="168" ht="15">
      <c r="A168" s="88" t="s">
        <v>388</v>
      </c>
      <c r="B168" s="86" t="s">
        <v>389</v>
      </c>
    </row>
    <row r="169" ht="15">
      <c r="A169" s="88" t="s">
        <v>390</v>
      </c>
      <c r="B169" s="86" t="s">
        <v>391</v>
      </c>
    </row>
    <row r="170" ht="15">
      <c r="A170" s="88" t="s">
        <v>55</v>
      </c>
      <c r="B170" s="86" t="s">
        <v>392</v>
      </c>
    </row>
    <row r="171" ht="15">
      <c r="A171" s="88" t="s">
        <v>393</v>
      </c>
      <c r="B171" s="86" t="s">
        <v>394</v>
      </c>
    </row>
    <row r="172" ht="15">
      <c r="A172" s="88" t="s">
        <v>395</v>
      </c>
      <c r="B172" s="86" t="s">
        <v>396</v>
      </c>
    </row>
    <row r="173" ht="15">
      <c r="A173" s="88" t="s">
        <v>397</v>
      </c>
      <c r="B173" s="86" t="s">
        <v>398</v>
      </c>
    </row>
    <row r="174" ht="15">
      <c r="A174" s="88" t="s">
        <v>399</v>
      </c>
      <c r="B174" s="86" t="s">
        <v>400</v>
      </c>
    </row>
    <row r="175" ht="15">
      <c r="A175" s="88" t="s">
        <v>401</v>
      </c>
      <c r="B175" s="86" t="s">
        <v>402</v>
      </c>
    </row>
    <row r="176" ht="15">
      <c r="A176" s="88" t="s">
        <v>403</v>
      </c>
      <c r="B176" s="86" t="s">
        <v>404</v>
      </c>
    </row>
    <row r="177" ht="15">
      <c r="A177" s="88" t="s">
        <v>405</v>
      </c>
      <c r="B177" s="86" t="s">
        <v>406</v>
      </c>
    </row>
    <row r="178" ht="15">
      <c r="A178" s="88" t="s">
        <v>407</v>
      </c>
      <c r="B178" s="86" t="s">
        <v>408</v>
      </c>
    </row>
    <row r="179" ht="15">
      <c r="A179" s="88" t="s">
        <v>409</v>
      </c>
      <c r="B179" s="86" t="s">
        <v>410</v>
      </c>
    </row>
    <row r="180" ht="15">
      <c r="A180" s="88" t="s">
        <v>411</v>
      </c>
      <c r="B180" s="86" t="s">
        <v>412</v>
      </c>
    </row>
    <row r="181" ht="15">
      <c r="A181" s="87" t="s">
        <v>413</v>
      </c>
      <c r="B181" s="86" t="s">
        <v>414</v>
      </c>
    </row>
    <row r="182" ht="15">
      <c r="A182" s="91" t="s">
        <v>49</v>
      </c>
      <c r="B182" s="92" t="s">
        <v>94</v>
      </c>
    </row>
    <row r="183" ht="15">
      <c r="A183" s="91" t="s">
        <v>51</v>
      </c>
      <c r="B183" s="92" t="s">
        <v>95</v>
      </c>
    </row>
    <row r="184" ht="15">
      <c r="A184" s="87" t="s">
        <v>415</v>
      </c>
      <c r="B184" s="86" t="s">
        <v>416</v>
      </c>
    </row>
    <row r="185" ht="15">
      <c r="A185" s="87" t="s">
        <v>417</v>
      </c>
      <c r="B185" s="86" t="s">
        <v>418</v>
      </c>
    </row>
    <row r="186" ht="15">
      <c r="A186" s="87" t="s">
        <v>419</v>
      </c>
      <c r="B186" s="86" t="s">
        <v>420</v>
      </c>
    </row>
    <row r="187" ht="15">
      <c r="A187" s="87" t="s">
        <v>421</v>
      </c>
      <c r="B187" s="86" t="s">
        <v>422</v>
      </c>
    </row>
    <row r="188" ht="15">
      <c r="A188" s="91" t="s">
        <v>423</v>
      </c>
      <c r="B188" s="86" t="s">
        <v>424</v>
      </c>
    </row>
    <row r="189" ht="15">
      <c r="A189" s="91" t="s">
        <v>425</v>
      </c>
      <c r="B189" s="86" t="s">
        <v>426</v>
      </c>
    </row>
    <row r="190" ht="15">
      <c r="A190" s="91" t="s">
        <v>52</v>
      </c>
      <c r="B190" s="92" t="s">
        <v>96</v>
      </c>
    </row>
    <row r="191" ht="15">
      <c r="A191" s="88" t="s">
        <v>427</v>
      </c>
      <c r="B191" s="86" t="s">
        <v>428</v>
      </c>
    </row>
    <row r="192" ht="15">
      <c r="A192" s="88" t="s">
        <v>429</v>
      </c>
      <c r="B192" s="86" t="s">
        <v>430</v>
      </c>
    </row>
    <row r="193" ht="15">
      <c r="A193" s="87" t="s">
        <v>431</v>
      </c>
      <c r="B193" s="86" t="s">
        <v>432</v>
      </c>
    </row>
    <row r="194" ht="15">
      <c r="A194" s="88" t="s">
        <v>433</v>
      </c>
      <c r="B194" s="86" t="s">
        <v>434</v>
      </c>
    </row>
    <row r="195" ht="15">
      <c r="A195" s="88" t="s">
        <v>435</v>
      </c>
      <c r="B195" s="86" t="s">
        <v>436</v>
      </c>
    </row>
    <row r="196" ht="15">
      <c r="A196" s="88" t="s">
        <v>437</v>
      </c>
      <c r="B196" s="86" t="s">
        <v>438</v>
      </c>
    </row>
    <row r="197" ht="15">
      <c r="A197" s="87" t="s">
        <v>439</v>
      </c>
      <c r="B197" s="86" t="s">
        <v>440</v>
      </c>
    </row>
    <row r="198" ht="15">
      <c r="A198" s="88" t="s">
        <v>441</v>
      </c>
      <c r="B198" s="86" t="s">
        <v>442</v>
      </c>
    </row>
    <row r="199" ht="15">
      <c r="A199" s="88" t="s">
        <v>443</v>
      </c>
      <c r="B199" s="86" t="s">
        <v>444</v>
      </c>
    </row>
    <row r="200" ht="15">
      <c r="A200" s="88" t="s">
        <v>445</v>
      </c>
      <c r="B200" s="86" t="s">
        <v>446</v>
      </c>
    </row>
    <row r="201" ht="15">
      <c r="A201" s="88" t="s">
        <v>447</v>
      </c>
      <c r="B201" s="86" t="s">
        <v>448</v>
      </c>
    </row>
    <row r="202" ht="15">
      <c r="A202" s="88" t="s">
        <v>449</v>
      </c>
      <c r="B202" s="86" t="s">
        <v>450</v>
      </c>
    </row>
    <row r="203" ht="15">
      <c r="A203" s="88" t="s">
        <v>451</v>
      </c>
      <c r="B203" s="86" t="s">
        <v>452</v>
      </c>
    </row>
    <row r="204" ht="15">
      <c r="A204" s="88" t="s">
        <v>453</v>
      </c>
      <c r="B204" s="86" t="s">
        <v>454</v>
      </c>
    </row>
    <row r="205" ht="15">
      <c r="A205" s="88" t="s">
        <v>455</v>
      </c>
      <c r="B205" s="86" t="s">
        <v>456</v>
      </c>
    </row>
    <row r="206" ht="15">
      <c r="A206" s="88" t="s">
        <v>457</v>
      </c>
      <c r="B206" s="86" t="s">
        <v>458</v>
      </c>
    </row>
    <row r="207" ht="15">
      <c r="A207" s="88" t="s">
        <v>459</v>
      </c>
      <c r="B207" s="86" t="s">
        <v>460</v>
      </c>
    </row>
    <row r="208" ht="15">
      <c r="A208" s="88" t="s">
        <v>461</v>
      </c>
      <c r="B208" s="86" t="s">
        <v>462</v>
      </c>
    </row>
    <row r="209" ht="15">
      <c r="A209" s="88" t="s">
        <v>463</v>
      </c>
      <c r="B209" s="86" t="s">
        <v>464</v>
      </c>
    </row>
    <row r="210" ht="15">
      <c r="A210" s="88" t="s">
        <v>465</v>
      </c>
      <c r="B210" s="86" t="s">
        <v>466</v>
      </c>
    </row>
    <row r="211" ht="15">
      <c r="A211" s="88" t="s">
        <v>467</v>
      </c>
      <c r="B211" s="86" t="s">
        <v>468</v>
      </c>
    </row>
    <row r="212" ht="15">
      <c r="A212" s="88" t="s">
        <v>469</v>
      </c>
      <c r="B212" s="86" t="s">
        <v>470</v>
      </c>
    </row>
    <row r="213" ht="15">
      <c r="A213" s="88" t="s">
        <v>471</v>
      </c>
      <c r="B213" s="86" t="s">
        <v>472</v>
      </c>
    </row>
    <row r="214" ht="15">
      <c r="A214" s="88" t="s">
        <v>473</v>
      </c>
      <c r="B214" s="86" t="s">
        <v>474</v>
      </c>
    </row>
    <row r="215" ht="15">
      <c r="A215" s="88" t="s">
        <v>475</v>
      </c>
      <c r="B215" s="86" t="s">
        <v>476</v>
      </c>
    </row>
    <row r="216" ht="15">
      <c r="A216" s="87" t="s">
        <v>477</v>
      </c>
      <c r="B216" s="86" t="s">
        <v>478</v>
      </c>
    </row>
    <row r="217" ht="15">
      <c r="A217" s="88" t="s">
        <v>479</v>
      </c>
      <c r="B217" s="86" t="s">
        <v>480</v>
      </c>
    </row>
    <row r="218" ht="15">
      <c r="A218" s="88" t="s">
        <v>481</v>
      </c>
      <c r="B218" s="86" t="s">
        <v>482</v>
      </c>
    </row>
    <row r="219" ht="15">
      <c r="A219" s="88" t="s">
        <v>62</v>
      </c>
      <c r="B219" s="86" t="s">
        <v>483</v>
      </c>
    </row>
    <row r="220" ht="15">
      <c r="A220" s="88" t="s">
        <v>484</v>
      </c>
      <c r="B220" s="86" t="s">
        <v>485</v>
      </c>
    </row>
    <row r="221" ht="15">
      <c r="A221" s="88" t="s">
        <v>486</v>
      </c>
      <c r="B221" s="86" t="s">
        <v>487</v>
      </c>
    </row>
    <row r="222" ht="15">
      <c r="A222" s="88" t="s">
        <v>488</v>
      </c>
      <c r="B222" s="86" t="s">
        <v>489</v>
      </c>
    </row>
    <row r="223" ht="15">
      <c r="A223" s="88" t="s">
        <v>490</v>
      </c>
      <c r="B223" s="86" t="s">
        <v>464</v>
      </c>
    </row>
    <row r="224" ht="15">
      <c r="A224" s="88" t="s">
        <v>491</v>
      </c>
      <c r="B224" s="86" t="s">
        <v>492</v>
      </c>
    </row>
    <row r="225" ht="15">
      <c r="A225" s="88" t="s">
        <v>493</v>
      </c>
      <c r="B225" s="86" t="s">
        <v>494</v>
      </c>
    </row>
    <row r="226" ht="15">
      <c r="A226" s="87" t="s">
        <v>495</v>
      </c>
      <c r="B226" s="86" t="s">
        <v>496</v>
      </c>
    </row>
    <row r="227" ht="15">
      <c r="A227" s="88" t="s">
        <v>497</v>
      </c>
      <c r="B227" s="86" t="s">
        <v>498</v>
      </c>
    </row>
    <row r="228" ht="15">
      <c r="A228" s="88" t="s">
        <v>499</v>
      </c>
      <c r="B228" s="86" t="s">
        <v>500</v>
      </c>
    </row>
    <row r="229" ht="15">
      <c r="A229" s="88" t="s">
        <v>501</v>
      </c>
      <c r="B229" s="86" t="s">
        <v>502</v>
      </c>
    </row>
    <row r="230" ht="15">
      <c r="A230" s="88" t="s">
        <v>503</v>
      </c>
      <c r="B230" s="86" t="s">
        <v>504</v>
      </c>
    </row>
    <row r="231" ht="15">
      <c r="A231" s="88" t="s">
        <v>505</v>
      </c>
      <c r="B231" s="86" t="s">
        <v>506</v>
      </c>
    </row>
    <row r="232" ht="15">
      <c r="A232" s="88" t="s">
        <v>507</v>
      </c>
      <c r="B232" s="86" t="s">
        <v>470</v>
      </c>
    </row>
    <row r="233" ht="15">
      <c r="A233" s="88" t="s">
        <v>508</v>
      </c>
      <c r="B233" s="86" t="s">
        <v>509</v>
      </c>
    </row>
    <row r="234" ht="15">
      <c r="A234" s="87" t="s">
        <v>510</v>
      </c>
      <c r="B234" s="86" t="s">
        <v>511</v>
      </c>
    </row>
    <row r="235" ht="15">
      <c r="A235" s="88" t="s">
        <v>512</v>
      </c>
      <c r="B235" s="86" t="s">
        <v>513</v>
      </c>
    </row>
    <row r="236" ht="15">
      <c r="A236" s="88" t="s">
        <v>514</v>
      </c>
      <c r="B236" s="86" t="s">
        <v>515</v>
      </c>
    </row>
    <row r="237" ht="15">
      <c r="A237" s="88" t="s">
        <v>516</v>
      </c>
      <c r="B237" s="86" t="s">
        <v>517</v>
      </c>
    </row>
    <row r="238" ht="15">
      <c r="A238" s="88" t="s">
        <v>518</v>
      </c>
      <c r="B238" s="86" t="s">
        <v>519</v>
      </c>
    </row>
    <row r="239" ht="15">
      <c r="A239" s="88" t="s">
        <v>520</v>
      </c>
      <c r="B239" s="86" t="s">
        <v>521</v>
      </c>
    </row>
    <row r="240" ht="15">
      <c r="A240" s="87" t="s">
        <v>522</v>
      </c>
      <c r="B240" s="86" t="s">
        <v>523</v>
      </c>
    </row>
    <row r="241" ht="15">
      <c r="A241" s="87" t="s">
        <v>524</v>
      </c>
      <c r="B241" s="86" t="s">
        <v>525</v>
      </c>
    </row>
    <row r="242" ht="15">
      <c r="A242" s="87" t="s">
        <v>526</v>
      </c>
      <c r="B242" s="86" t="s">
        <v>527</v>
      </c>
    </row>
    <row r="243" ht="15">
      <c r="A243" s="88" t="s">
        <v>528</v>
      </c>
      <c r="B243" s="86" t="s">
        <v>529</v>
      </c>
    </row>
    <row r="244" ht="15">
      <c r="A244" s="87">
        <v>1001703</v>
      </c>
      <c r="B244" s="86" t="s">
        <v>530</v>
      </c>
    </row>
    <row r="245" ht="15">
      <c r="A245" s="88" t="s">
        <v>531</v>
      </c>
      <c r="B245" s="86" t="s">
        <v>532</v>
      </c>
    </row>
    <row r="246" ht="15">
      <c r="A246" s="88" t="s">
        <v>533</v>
      </c>
      <c r="B246" s="86" t="s">
        <v>534</v>
      </c>
    </row>
    <row r="247" ht="15">
      <c r="A247" s="87" t="s">
        <v>535</v>
      </c>
      <c r="B247" s="86" t="s">
        <v>536</v>
      </c>
    </row>
    <row r="248" ht="15">
      <c r="A248" s="87">
        <v>1004450</v>
      </c>
      <c r="B248" s="86" t="s">
        <v>537</v>
      </c>
    </row>
    <row r="249" ht="15">
      <c r="A249" s="87">
        <v>1004451</v>
      </c>
      <c r="B249" s="86" t="s">
        <v>538</v>
      </c>
    </row>
    <row r="250" ht="15">
      <c r="A250" s="87" t="s">
        <v>539</v>
      </c>
      <c r="B250" s="86" t="s">
        <v>540</v>
      </c>
    </row>
    <row r="251" ht="15">
      <c r="A251" s="87" t="s">
        <v>541</v>
      </c>
      <c r="B251" s="86" t="s">
        <v>542</v>
      </c>
    </row>
    <row r="252" ht="15">
      <c r="A252" s="87" t="s">
        <v>543</v>
      </c>
      <c r="B252" s="86" t="s">
        <v>544</v>
      </c>
    </row>
    <row r="253" ht="15">
      <c r="A253" s="87" t="s">
        <v>545</v>
      </c>
      <c r="B253" s="86" t="s">
        <v>546</v>
      </c>
    </row>
    <row r="254" ht="15">
      <c r="A254" s="87" t="s">
        <v>547</v>
      </c>
      <c r="B254" s="86" t="s">
        <v>548</v>
      </c>
    </row>
    <row r="255" ht="15">
      <c r="A255" s="87" t="s">
        <v>549</v>
      </c>
      <c r="B255" s="86" t="s">
        <v>550</v>
      </c>
    </row>
    <row r="256" ht="15">
      <c r="A256" s="87" t="s">
        <v>549</v>
      </c>
      <c r="B256" s="86" t="s">
        <v>551</v>
      </c>
    </row>
    <row r="257" ht="15">
      <c r="A257" s="87" t="s">
        <v>549</v>
      </c>
      <c r="B257" s="86" t="s">
        <v>550</v>
      </c>
    </row>
    <row r="258" ht="15">
      <c r="A258" s="87" t="s">
        <v>549</v>
      </c>
      <c r="B258" s="86" t="s">
        <v>551</v>
      </c>
    </row>
    <row r="259" ht="15">
      <c r="A259" s="87" t="s">
        <v>552</v>
      </c>
      <c r="B259" s="86" t="s">
        <v>553</v>
      </c>
    </row>
    <row r="260" ht="15">
      <c r="A260" s="87" t="s">
        <v>554</v>
      </c>
      <c r="B260" s="86" t="s">
        <v>555</v>
      </c>
    </row>
    <row r="261" ht="15">
      <c r="A261" s="87" t="s">
        <v>556</v>
      </c>
      <c r="B261" s="86" t="s">
        <v>557</v>
      </c>
    </row>
    <row r="262" ht="15">
      <c r="A262" s="87" t="s">
        <v>558</v>
      </c>
      <c r="B262" s="86" t="s">
        <v>559</v>
      </c>
    </row>
    <row r="263" ht="15">
      <c r="A263" s="87" t="s">
        <v>560</v>
      </c>
      <c r="B263" s="86" t="s">
        <v>561</v>
      </c>
    </row>
    <row r="264" ht="15">
      <c r="A264" s="87" t="s">
        <v>562</v>
      </c>
      <c r="B264" s="86" t="s">
        <v>563</v>
      </c>
    </row>
    <row r="265" ht="15">
      <c r="A265" s="87" t="s">
        <v>564</v>
      </c>
      <c r="B265" s="86" t="s">
        <v>565</v>
      </c>
    </row>
    <row r="266" ht="15">
      <c r="A266" s="87" t="s">
        <v>566</v>
      </c>
      <c r="B266" s="86" t="s">
        <v>567</v>
      </c>
    </row>
    <row r="267" ht="15">
      <c r="A267" s="87" t="s">
        <v>568</v>
      </c>
      <c r="B267" s="86" t="s">
        <v>569</v>
      </c>
    </row>
    <row r="268" ht="15">
      <c r="A268" s="87" t="s">
        <v>570</v>
      </c>
      <c r="B268" s="86" t="s">
        <v>571</v>
      </c>
    </row>
    <row r="269" ht="15">
      <c r="A269" s="87" t="s">
        <v>61</v>
      </c>
      <c r="B269" s="86" t="s">
        <v>572</v>
      </c>
    </row>
    <row r="270" ht="15">
      <c r="A270" s="87" t="s">
        <v>61</v>
      </c>
      <c r="B270" s="86" t="s">
        <v>572</v>
      </c>
    </row>
    <row r="271" ht="15">
      <c r="A271" s="87" t="s">
        <v>61</v>
      </c>
      <c r="B271" s="86" t="s">
        <v>572</v>
      </c>
    </row>
    <row r="272" ht="15">
      <c r="A272" s="87" t="s">
        <v>573</v>
      </c>
      <c r="B272" s="86" t="s">
        <v>574</v>
      </c>
    </row>
    <row r="273" ht="15">
      <c r="A273" s="87" t="s">
        <v>575</v>
      </c>
      <c r="B273" s="86" t="s">
        <v>576</v>
      </c>
    </row>
    <row r="274" ht="15">
      <c r="A274" s="87" t="s">
        <v>577</v>
      </c>
      <c r="B274" s="86" t="s">
        <v>578</v>
      </c>
    </row>
    <row r="275" ht="15">
      <c r="A275" s="87" t="s">
        <v>579</v>
      </c>
      <c r="B275" s="86" t="s">
        <v>580</v>
      </c>
    </row>
    <row r="276" ht="15">
      <c r="A276" s="87" t="s">
        <v>581</v>
      </c>
      <c r="B276" s="86" t="s">
        <v>582</v>
      </c>
    </row>
    <row r="277" ht="15">
      <c r="A277" s="87" t="s">
        <v>583</v>
      </c>
      <c r="B277" s="86" t="s">
        <v>584</v>
      </c>
    </row>
    <row r="278" ht="15">
      <c r="A278" s="87"/>
      <c r="B278" s="86"/>
    </row>
    <row r="380" ht="15">
      <c r="B380" s="86"/>
    </row>
    <row r="381" ht="15">
      <c r="B381" s="86"/>
    </row>
    <row r="386" ht="15">
      <c r="B386" s="86"/>
    </row>
    <row r="387" ht="15">
      <c r="B387" s="86"/>
    </row>
    <row r="388" ht="15">
      <c r="B388" s="86"/>
    </row>
    <row r="389" ht="15">
      <c r="B389" s="86"/>
    </row>
    <row r="404" ht="15">
      <c r="B404" s="86"/>
    </row>
    <row r="416" ht="15">
      <c r="B416" s="86"/>
    </row>
    <row r="417" ht="15">
      <c r="B417" s="86"/>
    </row>
    <row r="418" ht="15">
      <c r="B418" s="86"/>
    </row>
    <row r="419" ht="15">
      <c r="B419" s="86"/>
    </row>
    <row r="440" ht="15">
      <c r="B440" s="86"/>
    </row>
  </sheetData>
  <autoFilter ref="A1:B15">
    <filterColumn colId="1">
      <colorFilter dxfId="0"/>
    </filterColumn>
    <sortState ref="A1:B467" columnSort="0">
      <sortCondition sortBy="value" descending="0" ref="A1:A478"/>
    </sortState>
  </autoFilter>
  <sortState ref="A2:B277">
    <sortCondition ref="A1:A277"/>
    <sortCondition ref="B1:B277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002A00AA-00AB-4C92-8BAB-0094006C00C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A:A</xm:sqref>
        </x14:conditionalFormatting>
        <x14:conditionalFormatting xmlns:xm="http://schemas.microsoft.com/office/excel/2006/main">
          <x14:cfRule type="duplicateValues" priority="3" id="{007F005B-0061-4C2B-8612-00E7002C009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A:A</xm:sqref>
        </x14:conditionalFormatting>
        <x14:conditionalFormatting xmlns:xm="http://schemas.microsoft.com/office/excel/2006/main">
          <x14:cfRule type="duplicateValues" priority="1" id="{004E000B-0034-43CC-897A-006F006B00F6}">
            <x14:dxf>
              <font>
                <color indexed="2"/>
              </font>
              <fill>
                <patternFill patternType="solid">
                  <fgColor rgb="FFFCB8C1"/>
                  <bgColor rgb="FFFCB8C1"/>
                </patternFill>
              </fill>
            </x14:dxf>
          </x14:cfRule>
          <xm:sqref>B:B</xm:sqref>
        </x14:conditionalFormatting>
        <x14:conditionalFormatting xmlns:xm="http://schemas.microsoft.com/office/excel/2006/main">
          <x14:cfRule type="duplicateValues" priority="2" id="{003A0045-0009-4D74-911B-004800FD00F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A2</xm:sqref>
        </x14:conditionalFormatting>
        <x14:conditionalFormatting xmlns:xm="http://schemas.microsoft.com/office/excel/2006/main">
          <x14:cfRule type="duplicateValues" priority="3" id="{001A0032-00A9-4085-B9D3-00FF00D9007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A2</xm:sqref>
        </x14:conditionalFormatting>
        <x14:conditionalFormatting xmlns:xm="http://schemas.microsoft.com/office/excel/2006/main">
          <x14:cfRule type="duplicateValues" priority="1" id="{00710080-0003-487A-9E5E-00A8001900D5}">
            <x14:dxf>
              <font>
                <color indexed="2"/>
              </font>
              <fill>
                <patternFill patternType="solid">
                  <fgColor rgb="FFFCB8C1"/>
                  <bgColor rgb="FFFCB8C1"/>
                </patternFill>
              </fill>
            </x14:dxf>
          </x14:cfRule>
          <xm:sqref>B2</xm:sqref>
        </x14:conditionalFormatting>
        <x14:conditionalFormatting xmlns:xm="http://schemas.microsoft.com/office/excel/2006/main">
          <x14:cfRule type="duplicateValues" priority="2" id="{00150088-0028-4E23-B387-001D00EF006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A16</xm:sqref>
        </x14:conditionalFormatting>
        <x14:conditionalFormatting xmlns:xm="http://schemas.microsoft.com/office/excel/2006/main">
          <x14:cfRule type="duplicateValues" priority="3" id="{005000D5-00F4-40DA-8F5A-00AF00D1002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A16</xm:sqref>
        </x14:conditionalFormatting>
        <x14:conditionalFormatting xmlns:xm="http://schemas.microsoft.com/office/excel/2006/main">
          <x14:cfRule type="duplicateValues" priority="1" id="{0052006D-008A-437D-B7C4-005800D400CE}">
            <x14:dxf>
              <font>
                <color indexed="2"/>
              </font>
              <fill>
                <patternFill patternType="solid">
                  <fgColor rgb="FFFCB8C1"/>
                  <bgColor rgb="FFFCB8C1"/>
                </patternFill>
              </fill>
            </x14:dxf>
          </x14:cfRule>
          <xm:sqref>B16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>FluorDaniel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Pre-Installed User</dc:creator>
  <cp:revision>2</cp:revision>
  <dcterms:created xsi:type="dcterms:W3CDTF">2003-08-18T07:02:37Z</dcterms:created>
  <dcterms:modified xsi:type="dcterms:W3CDTF">2026-03-01T14:39:25Z</dcterms:modified>
</cp:coreProperties>
</file>